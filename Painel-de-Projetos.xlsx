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akihiro.hayashi\Downloads\"/>
    </mc:Choice>
  </mc:AlternateContent>
  <xr:revisionPtr revIDLastSave="0" documentId="13_ncr:1_{EF907DCE-012C-4E21-B811-E65365877877}" xr6:coauthVersionLast="47" xr6:coauthVersionMax="47" xr10:uidLastSave="{00000000-0000-0000-0000-000000000000}"/>
  <bookViews>
    <workbookView xWindow="23880" yWindow="-1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<sst xmlns="http://schemas.openxmlformats.org/spreadsheetml/2006/main" count="386" uniqueCount="281">
  <si>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</si>
  <si>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</si>
  <si>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</si>
  <si>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</si>
  <si>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</si>
  <si>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</si>
  <si>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</si>
  <si>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</si>
  <si>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</si>
  <si>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</si>
  <si>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</si>
  <si>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</si>
  <si>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</si>
  <si>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</si>
  <si>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</si>
  <si>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</si>
  <si>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</si>
  <si>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</si>
  <si>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</si>
  <si>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</si>
  <si>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</si>
  <si>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</si>
  <si>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</si>
  <si>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</si>
  <si>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</si>
  <si>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</si>
  <si>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</si>
  <si>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</si>
  <si>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</si>
  <si>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</si>
  <si>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</si>
  <si>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</si>
  <si>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</si>
  <si>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</si>
  <si>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</si>
  <si>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</si>
  <si>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</si>
  <si>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</si>
  <si>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</si>
  <si>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</si>
  <si>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</si>
  <si>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</si>
  <si>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</si>
  <si>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26/10/2026 a 29/10/2026</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</si>
  <si>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</si>
  <si>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</si>
  <si>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</si>
  <si>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</si>
  <si>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</si>
  <si>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</si>
  <si>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</si>
  <si>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</si>
  <si>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</si>
  <si>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</si>
  <si>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
Concurso Público ocorre no domingo (01/11) conforme planejado</t>
  </si>
  <si>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</si>
  <si>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</si>
  <si>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</si>
  <si>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</si>
  <si>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</si>
  <si>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</si>
  <si>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</si>
  <si>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</si>
  <si>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</si>
  <si>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</si>
  <si>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</si>
  <si>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</si>
  <si>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</si>
  <si>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</si>
  <si>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</si>
  <si>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</si>
  <si>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</si>
  <si>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</si>
  <si>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</si>
  <si>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Isabella Monteiro</t>
  </si>
  <si>
    <t>DFT</t>
  </si>
  <si>
    <t>Atenção</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</si>
  <si>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</si>
  <si>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</si>
  <si>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</si>
  <si>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</si>
  <si>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</si>
  <si>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</si>
  <si>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</si>
  <si>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</si>
  <si>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</si>
  <si>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</si>
  <si>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</si>
  <si>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</si>
  <si>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Não houve necessidade de agenda do projeto</t>
  </si>
  <si>
    <t>Cronograma com estimativa do prazo final</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</si>
  <si>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</si>
  <si>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</si>
  <si>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</si>
  <si>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</si>
  <si>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</si>
  <si>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</si>
  <si>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</si>
  <si>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</si>
  <si>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</si>
  <si>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</si>
  <si>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</si>
  <si>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</si>
  <si>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</si>
  <si>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</si>
  <si>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</si>
  <si>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</si>
  <si>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</si>
  <si>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</si>
  <si>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</si>
  <si>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</si>
  <si>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</si>
  <si>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</si>
  <si>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</si>
  <si>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</si>
  <si>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</si>
  <si>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</si>
  <si>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</si>
  <si>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</si>
  <si>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</si>
  <si>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</si>
  <si>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</si>
  <si>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</si>
  <si>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</si>
  <si>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</si>
  <si>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</si>
  <si>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</si>
  <si>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</si>
  <si>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</si>
  <si>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</si>
  <si>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</si>
  <si>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</si>
  <si>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</si>
  <si>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</si>
  <si>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</si>
  <si>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</si>
  <si>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</si>
  <si>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</si>
  <si>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</si>
  <si>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</si>
  <si>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</si>
  <si>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</si>
  <si>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Sistema de Atendimento: GMUD  apenas ECVs - 05/10/2026</t>
  </si>
  <si>
    <t>Base de Conhecimento - entregue 14/06/2026
Sistema de Atendimento - entregue 14/06/2026 (homologação)
Base de Conhecimento - correções - entregue 30/09/2026</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</si>
  <si>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</si>
  <si>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</si>
  <si>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</si>
  <si>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</si>
  <si>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</si>
  <si>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</si>
  <si>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</si>
  <si>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</si>
  <si>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</si>
  <si>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</si>
  <si>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</si>
  <si>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</si>
  <si>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</si>
  <si>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</si>
  <si>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</si>
  <si>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</si>
  <si>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Possível revisão de escopo - impacto no cronograma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</si>
  <si>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</si>
  <si>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</si>
  <si>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</si>
  <si>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Cyntia Tiemi Nihy</t>
  </si>
  <si>
    <t>Aprovação da Etapa 4</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</si>
  <si>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</si>
  <si>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</si>
  <si>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</si>
  <si>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</si>
  <si>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</si>
  <si>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</si>
  <si>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</si>
  <si>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</si>
  <si>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</si>
  <si>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</si>
  <si>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</si>
  <si>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</si>
  <si>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</si>
  <si>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</si>
  <si>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</si>
  <si>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</si>
  <si>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</si>
  <si>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</si>
  <si>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</si>
  <si>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</si>
  <si>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</si>
  <si>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</si>
  <si>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</si>
  <si>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</si>
  <si>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</si>
  <si>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</si>
  <si>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</si>
  <si>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</si>
  <si>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</si>
  <si>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</si>
  <si>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</si>
  <si>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</si>
  <si>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</si>
  <si>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</si>
  <si>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</si>
  <si>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</si>
  <si>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</si>
  <si>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</si>
  <si>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</si>
  <si>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</si>
  <si>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</si>
  <si>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</si>
  <si>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</si>
  <si>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</si>
  <si>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</si>
  <si>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</si>
  <si>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</si>
  <si>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</si>
  <si>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</si>
  <si>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</si>
  <si>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</si>
  <si>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</si>
  <si>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</si>
  <si>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</si>
  <si>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</si>
  <si>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</si>
  <si>
    <t>Portaria DETRAN-SP nº 5 561, de 20 de setembro de 2024</t>
  </si>
  <si>
    <t>Live 1 0 - entregue
Consulta de peças - entregue
Live 2 0 em andamento sem impeditivos</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</si>
  <si>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 1 0
Live2 0
Autorização de Transporte Escolar (ATE)
Gestão de Procuração 2 0
Emplacar Veículo 0Km
Novo APP DETRAN-SP</t>
  </si>
  <si>
    <t xml:space="preserve">Realizado alinhamento com a Tati junto EPT sobre a grade do curso de formação e uso dos 60 dias propostas pela EPT, do conteúdo que é obrigatório versus o que fica como complementar - pendente validação da grade de formação dos 60 dias </t>
  </si>
  <si>
    <t xml:space="preserve">Publicação do Edital - Prova 01/11/2026 
Análise da lista de docentes da DHC está sendo realizada pela DCI e realizado alinhamento com DTI sobre a disponibilidade de equipamentos e posições de trabalho para o treinamento dos ingressantes 
Concurso Público ocorre no domingo (01/11) conforme planejado 
Realizado alinhamento com a Tati junto EPT sobre a grade do curso de formação e uso dos 60 dias propostas pela EPT, do conteúdo que é obrigatório versus o que fica como complementar </t>
  </si>
  <si>
    <t xml:space="preserve">Atualização do cronograma 
Novo alinhamento com Tati e EPT para concluir as definições/validação de grade dos 60 dias 
Definição dos locais na SEDE para realização do curso EAD para os ingressantes com Norma - depende da estratégia a ser definida para a formação em 60 dias com EPT e Tati 
DCI finalizar a pesquisa dos docentes da DHC 
DAC abrir SEI direcionado a DCI para solicitar pesquisa de seus docentes </t>
  </si>
  <si>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NÃO ESCOPO: O Concurso Público em andamento é de responsabilidade única e exclusivamente da DAL  
A data da realização da prova, descrita  nesse projeto, é meramente informativa </t>
  </si>
  <si>
    <t>Portaria DETRAN-SP Nº 2 889, DE 25 DE ABRIL DE 2024</t>
  </si>
  <si>
    <t>Nenhuma realização relevante registrada no período 
Não houve necessidade de agenda do projeto</t>
  </si>
  <si>
    <t>Decisão de entrar na licitação da PRF para aquisição das câmeras corporais
Foi solicitado formalmente à PRF a inclusão das camêras para o DETRAN-SP na licitação 
Não houve resposta da PRF até o momento 
Não houve necessidade de agenda do projeto</t>
  </si>
  <si>
    <t xml:space="preserve">Aguardando resposta da PRF sobre a licitação 
</t>
  </si>
  <si>
    <t xml:space="preserve">Dependência da licitação da PRF </t>
  </si>
  <si>
    <t xml:space="preserve">Estudar e implementar solução de monitoramento audiovisual da atuação do Departamento Estadual de Trânsito do Estado de São Paulo (DETRAN-SP) </t>
  </si>
  <si>
    <t xml:space="preserve">Demora no processo de contratação pela área de infraestrutura 
Desenhos técnicos necessários para contratação disponibilizados desde julho/2026 
</t>
  </si>
  <si>
    <t xml:space="preserve">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 </t>
  </si>
  <si>
    <t xml:space="preserve">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 </t>
  </si>
  <si>
    <t xml:space="preserve">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 </t>
  </si>
  <si>
    <t xml:space="preserve">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 </t>
  </si>
  <si>
    <t xml:space="preserve">O projeto original contemplava os módulos ITSM, ITAM e ITOM 
Atualmente os módulos ITAM e ITOM estão "congelados" e os esforços estão concentrados apenas no ITSM </t>
  </si>
  <si>
    <t xml:space="preserve">Entrega dos Catalogos de Serviço das divisões DAFT, implantar melhorias urgentes, DETRAN-SP -28/09/20026 </t>
  </si>
  <si>
    <t xml:space="preserve">Módulos ITAM e ITOM estão "congelados" e os esforços estão concentrados apenas no ITSM </t>
  </si>
  <si>
    <t xml:space="preserve">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 </t>
  </si>
  <si>
    <t xml:space="preserve">Mapeamento de todas as jornadas finalizado como planejado </t>
  </si>
  <si>
    <t xml:space="preserve">Reavaliação do trabalho pela AME, com ajuste no foco da entrega e na resolução do To-be </t>
  </si>
  <si>
    <t xml:space="preserve">Analistas estudando a teoria de Indicadores para aplicarem no projeto, conforme orientação AME e APC </t>
  </si>
  <si>
    <t xml:space="preserve">Realinhar formato de indicadores de cada melhoria </t>
  </si>
  <si>
    <t xml:space="preserve">Validação e feedback das jornadas to-be feitas  </t>
  </si>
  <si>
    <t xml:space="preserve">Em andamento sem impeditivo </t>
  </si>
  <si>
    <t xml:space="preserve">Acompanhamento da implantação do MVP2, com avanço de 50% com previsão de término para 03/11/2026 </t>
  </si>
  <si>
    <t xml:space="preserve">Monitoramento da implantação MVP-1 extendida até 30/10/26, sem impacto no prazo final, com 90% de andamento 
Monitoramento da implantação MVP-2, com 50% de andamento e término em 03/11/2026 </t>
  </si>
  <si>
    <t xml:space="preserve">Implantar-Laudos de Vistoria de Segurança Veicular (MVP-3) </t>
  </si>
  <si>
    <t xml:space="preserve">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 </t>
  </si>
  <si>
    <t>Agente OCR de Documentos de Credenciamento - integração com o portal:
--    Treinamento - TBD
--    Homologação - TBD
--    GMUD - TBD
--    Aguardando a migração de configuração OCR e Azure para Produção e Best seguir com cronograma de entrega 
Agente Q&amp;A da Wiki ("Isa") - wave 2 - Microsoft - 06/11/2026
Agente Revisor de Conteúdo da wiki - wave 3:
--    Entrega Microsoft e Integração com portal pela Best - sem previsão</t>
  </si>
  <si>
    <t xml:space="preserve">O crédito a Microsoft foi aprovado pela Prodesp em 23/10, para custear recursos Azure em Produção e Best seguir replanejar as atividades no cronograma da entrega do OCR e Agentes IA wave2 e wave 3 </t>
  </si>
  <si>
    <t xml:space="preserve">OCR e Azure: tinha bloqueio de configurações e migração para produção até 23/10 -  Prodesp informou que recursos Azure geram custos e dependem de aprovações adicionais em ambiente de Produção  Esta aprovação foi realizada em 23/10 </t>
  </si>
  <si>
    <t xml:space="preserve">A falta de um cronograma definido pela MIcrosoft, e a necessidade de  integração com o portal a cargo da Best sinalizam atrasos significativos para esse projeto </t>
  </si>
  <si>
    <t xml:space="preserve">Correção de Bugs da V3, iniciada subida em Produção, com publicação do App na loja Android e cadastro de usuários em andamento </t>
  </si>
  <si>
    <t xml:space="preserve">Detran retornar o parecer sobre as documentações Anexos_C e Ordem_de_Serviço (previsão era 13/10, está atrasado)
Atraso no Módulo CST (V4) para estimativa Be Solution e viabilidade técnica devido novos pedidos do Detran  Nova data será planejada depois de 5 dias do recebimento dos novos requisitos </t>
  </si>
  <si>
    <t xml:space="preserve">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 </t>
  </si>
  <si>
    <t>Portaria DETRAN-SP nº 4 830, de 30 de julho de 2024</t>
  </si>
  <si>
    <t xml:space="preserve">Projeto paralizado aguardando aprovação da etapa 4 pela Presidência
Devido a férias do P O  do projeto essa aprovação só ocorrerá após 29/10 </t>
  </si>
  <si>
    <t xml:space="preserve">Nenhuma realização relevante registrada no período 
Não houve necessidade de agenda do projeto </t>
  </si>
  <si>
    <t xml:space="preserve">Aprovação  da etapa 4 - apenas após 29/10/2026, devido as férias do P O  do projeto 
</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</si>
  <si>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 233 e 257, § 8º - NIC)
ETAPA3 (MULTAS ARTS  162, 163 ou 164)
ETAPA4 (MULTAS ARTS  240, 241, 242 e 243)</t>
  </si>
  <si>
    <t>Gestão de procuração 2 0: Ajustando história de usuário 
Novo app: Área realizou homologação e solicitou 25 ajustes, com entrega até 29/10/26 
Live 2 0: Feito correções do Portal e integrado SISPL com mainframe 
Emplacar veículo 0Km: Detalhado cronograma de execução</t>
  </si>
  <si>
    <t xml:space="preserve">Gestão de procuração 2 0: Realizar ajustes nas história do usuário e desenvolver protótipo 
Novo app: Realizar ajustes no app, até 29/10/26 
Autorização de Transporte Escolar: Detalhar cronograma de desenvolvimento 
Live 2 0: Homologar o desenvolvimento do portal, Executar QA-SISPL Sem socket e Construir o Socket-MF no SISPL 
Emplacar veículo 0Km: Desenvolver estrutura técnica e modelo de dados da aplicação </t>
  </si>
  <si>
    <t xml:space="preserve">Não houve report pelo GP do projeto:
Primeira Habilitação 
Renovação da CNH 
Autorização de Transporte Escolar: Chaintec não forneceu cronograma de desenvolvimento </t>
  </si>
  <si>
    <t xml:space="preserve">Atraso na revisão e validação do conteúdo da capacitação 
Alterações normativas durante a produção do conteúdo da capacitação </t>
  </si>
  <si>
    <t xml:space="preserve">Mudança de estratégia: 
Decisão de entrar na licitação da PRF para aquisição das câmeras corporais 
Dependência de licitação a ser realizada por outro órgão 
Até o momento não temos resposta da PRF sobre a licitação </t>
  </si>
  <si>
    <t xml:space="preserve">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 
Não houve necessidade de agenda do projeto </t>
  </si>
  <si>
    <t xml:space="preserve">Entrega do catálogo da Divisão de Auditoria Forense Digital, interrompida a construção do Catálogo da Divisão de Segurança da Informação, atender as solicitações de melhorias urgentes, conceder acesso aos assistentens técnicos 3, adicionar função para ciação de rótulo no VTB, adicionar log na atividade de troca de grupo e atalho para página VTB </t>
  </si>
  <si>
    <t xml:space="preserve">Retomar desenvolvimento do catálogo da Divisão de Segurança da Informação  Iniciar homologação do catálogo da Divisão de Auditoria Forense Digital e finalizar o desenvolvimento do catálogo da Divisão de Monitoramento e Resposta a Incidentes Cibernéticos </t>
  </si>
  <si>
    <t xml:space="preserve">Contrato prestes a vencer em 21/11/2026                                                                                                       </t>
  </si>
  <si>
    <t xml:space="preserve">Projeto pode ser interrompido por não assinar o contrato </t>
  </si>
  <si>
    <t xml:space="preserve">Projeto apresenta significativo atraso e não há previsão para o término 
Agente OCR - Integração com portal - Best: tem bloqueio de liberação de recursos do Azure impactando cronograma 
- Treinamento - TBD 
- Homologação - TBD 
- GMUD - TBD 
Agente Q&amp;A da Wiki ("Isa") - wave 2 - Integração com o portal - Best:
- Desenvolvimento - 30/10 
- GMUD - 06/11 
Agente Revisor de Conteúdo da wiki - wave 3:
- Entrega Microsoft e Integração com portal pela Best - sem previsão </t>
  </si>
  <si>
    <t xml:space="preserve">Entrega V3 1: Correção de 10 itens prioritários:
- Homologação Detran: 11/11 
Publicação do app RST nas lojas Android (Google Play) e iOS (App Store): Loja Android foi aprovado, pendente aprovação da loja da App Store 
Cadastro dos primeiros usuários de Produção em andamento: Estimativa de 90 usuários em campo (prova em campo) - 30/10
Mapa de lesões V4 - em desenvolvimento: 
- Homologação em 30/10 
Módulo CST (V4):
- Homologação Detran: TBD 
- Estimativa Be Solution e viabilidade técnica: em atraso, devido novos pedidos do Detran  Nova data será planejada depois de 5 dias do recebimento dos novos requisitos </t>
  </si>
  <si>
    <t xml:space="preserve">Detran retornar o parecer sobre as documentações Anexos_C e Ordem_de_Serviço 
Entrega V3 1: Correção de 10 itens prioritários:
- Homologação Detran: 11/11 
Aprovação do APP pela loja iOS (App Store)
Mapa de lesões V4 em desenvolvimento:
- Homologação: 30/10 
Módulo CST (V4):
- Homologação Detran: TBD 
- Estimativa Be Solution e viabilidade técnica: em atraso, devido novos pedidos do Detran  Nova data será planejada depois de 5 dias do recebimento dos novos requisitos </t>
  </si>
  <si>
    <t xml:space="preserve">Etapa 3 - Concluída em 07/08/2026 
Etapa 4 definida pela DFT </t>
  </si>
  <si>
    <t xml:space="preserve">
Etapa 4 -aprovação da presidência 
Etapa 4 - início - requisitos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</si>
</sst>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4" fillId="0" borderId="0" applyFont="0" applyFill="0" applyBorder="0" applyAlignment="0" applyProtection="0"/>
  </cellStyleXfs>
  <cellXfs count="31">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xf numFmtId="9" fontId="0" fillId="0" borderId="1" xfId="0" applyNumberFormat="1" applyBorder="1" applyAlignment="1">
      <alignment horizontal="center" vertical="center"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85" zoomScaleNormal="85" workbookViewId="0">
      <pane ySplit="1" topLeftCell="A23" activePane="bottomLeft" state="frozen"/>
      <selection pane="bottomLeft" sqref="A1:XFD1048576"/>
    </sheetView>
  </sheetViews>
  <sheetFormatPr defaultRowHeight="15" x14ac:dyDescent="0.25"/>
  <cols>
    <col min="1" max="1" width="9.7109375" customWidth="1"/>
    <col min="2" max="2" width="25" style="29" customWidth="1"/>
    <col min="3" max="3" width="23.28515625" customWidth="1"/>
    <col min="4" max="4" width="17.28515625"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x14ac:dyDescent="0.2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x14ac:dyDescent="0.25">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55" hidden="1" x14ac:dyDescent="0.25">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40" x14ac:dyDescent="0.25">
      <c r="A4" s="2" t="s">
        <v>37</v>
      </c>
      <c r="B4" s="2" t="s">
        <v>38</v>
      </c>
      <c r="C4" s="15" t="s">
        <v>222</v>
      </c>
      <c r="D4" s="7" t="s">
        <v>40</v>
      </c>
      <c r="E4" s="9" t="s">
        <v>34</v>
      </c>
      <c r="F4" s="9" t="s">
        <v>41</v>
      </c>
      <c r="G4" s="9" t="s">
        <v>42</v>
      </c>
      <c r="H4" s="14" t="s">
        <v>223</v>
      </c>
      <c r="I4" s="9" t="s">
        <v>43</v>
      </c>
      <c r="J4" s="14" t="s">
        <v>266</v>
      </c>
      <c r="K4" s="30">
        <v>0.75</v>
      </c>
      <c r="L4" s="27">
        <f ca="1">(TODAY()-M4)/(N4-M4)</f>
        <v>0.94355828220858895</v>
      </c>
      <c r="M4" s="10">
        <v>45555</v>
      </c>
      <c r="N4" s="10">
        <v>46370</v>
      </c>
      <c r="O4" s="10">
        <v>46475</v>
      </c>
      <c r="P4" s="10">
        <v>46321</v>
      </c>
      <c r="Q4" s="4"/>
      <c r="R4" s="3" t="s">
        <v>267</v>
      </c>
      <c r="S4" s="3"/>
      <c r="T4" s="3"/>
      <c r="U4" s="3" t="s">
        <v>268</v>
      </c>
      <c r="V4" s="3"/>
      <c r="W4" s="3" t="s">
        <v>224</v>
      </c>
      <c r="X4" s="3" t="s">
        <v>44</v>
      </c>
    </row>
    <row r="5" spans="1:24" ht="135" hidden="1" x14ac:dyDescent="0.25">
      <c r="A5" s="16" t="s">
        <v>45</v>
      </c>
      <c r="B5" s="17" t="s">
        <v>46</v>
      </c>
      <c r="C5" s="18" t="s">
        <v>47</v>
      </c>
      <c r="D5" s="19"/>
      <c r="E5" s="19" t="s">
        <v>48</v>
      </c>
      <c r="F5" s="19" t="s">
        <v>28</v>
      </c>
      <c r="G5" s="19" t="s">
        <v>28</v>
      </c>
      <c r="H5" s="17"/>
      <c r="I5" s="20"/>
      <c r="J5" s="21"/>
      <c r="K5" s="20">
        <v>100</v>
      </c>
      <c r="L5" s="20"/>
      <c r="M5" s="19"/>
      <c r="N5" s="19"/>
      <c r="O5" s="19"/>
      <c r="P5" s="19"/>
      <c r="Q5" s="22"/>
      <c r="R5" s="22"/>
      <c r="S5" s="22"/>
      <c r="T5" s="22"/>
      <c r="U5" s="22"/>
      <c r="V5" s="22"/>
      <c r="W5" s="23" t="s">
        <v>49</v>
      </c>
      <c r="X5" s="23" t="s">
        <v>50</v>
      </c>
    </row>
    <row r="6" spans="1:24" ht="285" x14ac:dyDescent="0.25">
      <c r="A6" s="2" t="s">
        <v>51</v>
      </c>
      <c r="B6" s="2" t="s">
        <v>52</v>
      </c>
      <c r="C6" s="5"/>
      <c r="D6" s="7" t="s">
        <v>33</v>
      </c>
      <c r="E6" s="7" t="s">
        <v>53</v>
      </c>
      <c r="F6" s="7" t="s">
        <v>41</v>
      </c>
      <c r="G6" s="7" t="s">
        <v>42</v>
      </c>
      <c r="H6" s="14" t="s">
        <v>54</v>
      </c>
      <c r="I6" s="9" t="s">
        <v>43</v>
      </c>
      <c r="J6" s="14" t="s">
        <v>225</v>
      </c>
      <c r="K6" s="28">
        <v>0.15</v>
      </c>
      <c r="L6" s="28">
        <v>0.36</v>
      </c>
      <c r="M6" s="8">
        <v>46210</v>
      </c>
      <c r="N6" s="8">
        <v>46461</v>
      </c>
      <c r="O6" s="8">
        <v>46461</v>
      </c>
      <c r="P6" s="8">
        <v>45958</v>
      </c>
      <c r="Q6" s="4" t="s">
        <v>226</v>
      </c>
      <c r="R6" s="3" t="s">
        <v>227</v>
      </c>
      <c r="S6" s="3"/>
      <c r="T6" s="6"/>
      <c r="U6" s="3"/>
      <c r="V6" s="3" t="s">
        <v>269</v>
      </c>
      <c r="W6" s="3" t="s">
        <v>228</v>
      </c>
      <c r="X6" s="3" t="s">
        <v>55</v>
      </c>
    </row>
    <row r="7" spans="1:24" ht="300" hidden="1" x14ac:dyDescent="0.25">
      <c r="A7" s="16" t="s">
        <v>56</v>
      </c>
      <c r="B7" s="17" t="s">
        <v>57</v>
      </c>
      <c r="C7" s="18" t="s">
        <v>58</v>
      </c>
      <c r="D7" s="19" t="s">
        <v>59</v>
      </c>
      <c r="E7" s="19" t="s">
        <v>34</v>
      </c>
      <c r="F7" s="19" t="s">
        <v>28</v>
      </c>
      <c r="G7" s="19" t="s">
        <v>28</v>
      </c>
      <c r="H7" s="17"/>
      <c r="I7" s="20"/>
      <c r="J7" s="26"/>
      <c r="K7" s="20">
        <v>100</v>
      </c>
      <c r="L7" s="20"/>
      <c r="M7" s="19"/>
      <c r="N7" s="19"/>
      <c r="O7" s="19"/>
      <c r="P7" s="19"/>
      <c r="Q7" s="22"/>
      <c r="R7" s="22"/>
      <c r="S7" s="22"/>
      <c r="T7" s="22"/>
      <c r="U7" s="22"/>
      <c r="V7" s="22"/>
      <c r="W7" s="23" t="s">
        <v>60</v>
      </c>
      <c r="X7" s="23" t="s">
        <v>61</v>
      </c>
    </row>
    <row r="8" spans="1:24" ht="409.5" hidden="1" x14ac:dyDescent="0.25">
      <c r="A8" s="16" t="s">
        <v>62</v>
      </c>
      <c r="B8" s="17" t="s">
        <v>63</v>
      </c>
      <c r="C8" s="18" t="s">
        <v>39</v>
      </c>
      <c r="D8" s="19"/>
      <c r="E8" s="19" t="s">
        <v>64</v>
      </c>
      <c r="F8" s="19" t="s">
        <v>28</v>
      </c>
      <c r="G8" s="19" t="s">
        <v>28</v>
      </c>
      <c r="H8" s="17"/>
      <c r="I8" s="20"/>
      <c r="J8" s="21"/>
      <c r="K8" s="20">
        <v>100</v>
      </c>
      <c r="L8" s="20"/>
      <c r="M8" s="19"/>
      <c r="N8" s="19"/>
      <c r="O8" s="19"/>
      <c r="P8" s="19"/>
      <c r="Q8" s="22"/>
      <c r="R8" s="22"/>
      <c r="S8" s="22"/>
      <c r="T8" s="22"/>
      <c r="U8" s="22"/>
      <c r="V8" s="22"/>
      <c r="W8" s="23" t="s">
        <v>65</v>
      </c>
      <c r="X8" s="23" t="s">
        <v>66</v>
      </c>
    </row>
    <row r="9" spans="1:24" ht="75" hidden="1" x14ac:dyDescent="0.25">
      <c r="A9" s="16" t="s">
        <v>67</v>
      </c>
      <c r="B9" s="17" t="s">
        <v>68</v>
      </c>
      <c r="C9" s="18" t="s">
        <v>69</v>
      </c>
      <c r="D9" s="19"/>
      <c r="E9" s="19" t="s">
        <v>48</v>
      </c>
      <c r="F9" s="19" t="s">
        <v>28</v>
      </c>
      <c r="G9" s="19" t="s">
        <v>28</v>
      </c>
      <c r="H9" s="17"/>
      <c r="I9" s="20"/>
      <c r="J9" s="21"/>
      <c r="K9" s="20">
        <v>100</v>
      </c>
      <c r="L9" s="20"/>
      <c r="M9" s="19"/>
      <c r="N9" s="19"/>
      <c r="O9" s="19"/>
      <c r="P9" s="19"/>
      <c r="Q9" s="22"/>
      <c r="R9" s="22"/>
      <c r="S9" s="22"/>
      <c r="T9" s="22"/>
      <c r="U9" s="22"/>
      <c r="V9" s="22"/>
      <c r="W9" s="23" t="s">
        <v>70</v>
      </c>
      <c r="X9" s="23" t="s">
        <v>71</v>
      </c>
    </row>
    <row r="10" spans="1:24" ht="120" x14ac:dyDescent="0.25">
      <c r="A10" s="2" t="s">
        <v>72</v>
      </c>
      <c r="B10" s="2" t="s">
        <v>73</v>
      </c>
      <c r="C10" s="15" t="s">
        <v>229</v>
      </c>
      <c r="D10" s="7" t="s">
        <v>74</v>
      </c>
      <c r="E10" s="9" t="s">
        <v>75</v>
      </c>
      <c r="F10" s="9" t="s">
        <v>41</v>
      </c>
      <c r="G10" s="9" t="s">
        <v>76</v>
      </c>
      <c r="H10" s="14" t="s">
        <v>270</v>
      </c>
      <c r="I10" s="9" t="s">
        <v>43</v>
      </c>
      <c r="J10" s="14" t="s">
        <v>230</v>
      </c>
      <c r="K10" s="30">
        <v>0.79</v>
      </c>
      <c r="L10" s="30">
        <v>1</v>
      </c>
      <c r="M10" s="10">
        <v>45407</v>
      </c>
      <c r="N10" s="10">
        <v>45838</v>
      </c>
      <c r="O10" s="10"/>
      <c r="P10" s="10">
        <v>46304</v>
      </c>
      <c r="Q10" s="4" t="s">
        <v>231</v>
      </c>
      <c r="R10" s="3"/>
      <c r="S10" s="3" t="s">
        <v>232</v>
      </c>
      <c r="T10" s="3"/>
      <c r="U10" s="3"/>
      <c r="V10" s="3" t="s">
        <v>233</v>
      </c>
      <c r="W10" s="3" t="s">
        <v>234</v>
      </c>
      <c r="X10" s="3" t="s">
        <v>77</v>
      </c>
    </row>
    <row r="11" spans="1:24" ht="45" hidden="1" x14ac:dyDescent="0.25">
      <c r="A11" s="16" t="s">
        <v>78</v>
      </c>
      <c r="B11" s="17" t="s">
        <v>79</v>
      </c>
      <c r="C11" s="18" t="s">
        <v>80</v>
      </c>
      <c r="D11" s="19"/>
      <c r="E11" s="19" t="s">
        <v>81</v>
      </c>
      <c r="F11" s="19" t="s">
        <v>28</v>
      </c>
      <c r="G11" s="19" t="s">
        <v>28</v>
      </c>
      <c r="H11" s="17"/>
      <c r="I11" s="20"/>
      <c r="J11" s="21"/>
      <c r="K11" s="20">
        <v>100</v>
      </c>
      <c r="L11" s="20"/>
      <c r="M11" s="19"/>
      <c r="N11" s="19"/>
      <c r="O11" s="19"/>
      <c r="P11" s="19"/>
      <c r="Q11" s="22"/>
      <c r="R11" s="22"/>
      <c r="S11" s="22"/>
      <c r="T11" s="22"/>
      <c r="U11" s="22"/>
      <c r="V11" s="22"/>
      <c r="W11" s="23" t="s">
        <v>82</v>
      </c>
      <c r="X11" s="23" t="s">
        <v>83</v>
      </c>
    </row>
    <row r="12" spans="1:24" ht="195" x14ac:dyDescent="0.25">
      <c r="A12" s="2" t="s">
        <v>84</v>
      </c>
      <c r="B12" s="2" t="s">
        <v>85</v>
      </c>
      <c r="C12" s="15" t="s">
        <v>86</v>
      </c>
      <c r="D12" s="7" t="s">
        <v>87</v>
      </c>
      <c r="E12" s="7" t="s">
        <v>88</v>
      </c>
      <c r="F12" s="7" t="s">
        <v>41</v>
      </c>
      <c r="G12" s="7" t="s">
        <v>76</v>
      </c>
      <c r="H12" s="14" t="s">
        <v>235</v>
      </c>
      <c r="I12" s="9" t="s">
        <v>43</v>
      </c>
      <c r="J12" s="14" t="s">
        <v>89</v>
      </c>
      <c r="K12" s="28">
        <v>0.53</v>
      </c>
      <c r="L12" s="30">
        <v>1</v>
      </c>
      <c r="M12" s="8">
        <v>45659</v>
      </c>
      <c r="N12" s="8">
        <v>46045</v>
      </c>
      <c r="O12" s="8"/>
      <c r="P12" s="8">
        <v>46304</v>
      </c>
      <c r="Q12" s="4" t="s">
        <v>271</v>
      </c>
      <c r="R12" s="3" t="s">
        <v>236</v>
      </c>
      <c r="S12" s="3" t="s">
        <v>237</v>
      </c>
      <c r="T12" s="6"/>
      <c r="U12" s="3" t="s">
        <v>90</v>
      </c>
      <c r="V12" s="3" t="s">
        <v>238</v>
      </c>
      <c r="W12" s="3" t="s">
        <v>239</v>
      </c>
      <c r="X12" s="3" t="s">
        <v>91</v>
      </c>
    </row>
    <row r="13" spans="1:24" ht="409.5" hidden="1" x14ac:dyDescent="0.25">
      <c r="A13" s="16" t="s">
        <v>92</v>
      </c>
      <c r="B13" s="17" t="s">
        <v>93</v>
      </c>
      <c r="C13" s="22"/>
      <c r="D13" s="19"/>
      <c r="E13" s="19" t="s">
        <v>34</v>
      </c>
      <c r="F13" s="19" t="s">
        <v>28</v>
      </c>
      <c r="G13" s="19" t="s">
        <v>28</v>
      </c>
      <c r="H13" s="17"/>
      <c r="I13" s="20"/>
      <c r="J13" s="21"/>
      <c r="K13" s="20">
        <v>100</v>
      </c>
      <c r="L13" s="20"/>
      <c r="M13" s="19"/>
      <c r="N13" s="19"/>
      <c r="O13" s="19"/>
      <c r="P13" s="19"/>
      <c r="Q13" s="22"/>
      <c r="R13" s="22"/>
      <c r="S13" s="22"/>
      <c r="T13" s="22"/>
      <c r="U13" s="22"/>
      <c r="V13" s="22"/>
      <c r="W13" s="23" t="s">
        <v>94</v>
      </c>
      <c r="X13" s="23" t="s">
        <v>95</v>
      </c>
    </row>
    <row r="14" spans="1:24" ht="135" hidden="1" x14ac:dyDescent="0.25">
      <c r="A14" s="16" t="s">
        <v>96</v>
      </c>
      <c r="B14" s="17" t="s">
        <v>97</v>
      </c>
      <c r="C14" s="18" t="s">
        <v>98</v>
      </c>
      <c r="D14" s="19" t="s">
        <v>99</v>
      </c>
      <c r="E14" s="19" t="s">
        <v>88</v>
      </c>
      <c r="F14" s="19" t="s">
        <v>28</v>
      </c>
      <c r="G14" s="19" t="s">
        <v>28</v>
      </c>
      <c r="H14" s="17"/>
      <c r="I14" s="20"/>
      <c r="J14" s="21"/>
      <c r="K14" s="20">
        <v>100</v>
      </c>
      <c r="L14" s="20"/>
      <c r="M14" s="19"/>
      <c r="N14" s="19"/>
      <c r="O14" s="19"/>
      <c r="P14" s="19"/>
      <c r="Q14" s="22"/>
      <c r="R14" s="22"/>
      <c r="S14" s="22"/>
      <c r="T14" s="22"/>
      <c r="U14" s="22"/>
      <c r="V14" s="22"/>
      <c r="W14" s="23" t="s">
        <v>100</v>
      </c>
      <c r="X14" s="23" t="s">
        <v>101</v>
      </c>
    </row>
    <row r="15" spans="1:24" ht="150" hidden="1" x14ac:dyDescent="0.25">
      <c r="A15" s="16" t="s">
        <v>102</v>
      </c>
      <c r="B15" s="17" t="s">
        <v>103</v>
      </c>
      <c r="C15" s="22"/>
      <c r="D15" s="19"/>
      <c r="E15" s="19" t="s">
        <v>53</v>
      </c>
      <c r="F15" s="19" t="s">
        <v>28</v>
      </c>
      <c r="G15" s="19" t="s">
        <v>28</v>
      </c>
      <c r="H15" s="17"/>
      <c r="I15" s="20"/>
      <c r="J15" s="21"/>
      <c r="K15" s="20">
        <v>100</v>
      </c>
      <c r="L15" s="20"/>
      <c r="M15" s="19"/>
      <c r="N15" s="19"/>
      <c r="O15" s="19"/>
      <c r="P15" s="19"/>
      <c r="Q15" s="22"/>
      <c r="R15" s="22"/>
      <c r="S15" s="22"/>
      <c r="T15" s="22"/>
      <c r="U15" s="22"/>
      <c r="V15" s="22"/>
      <c r="W15" s="23" t="s">
        <v>104</v>
      </c>
      <c r="X15" s="23" t="s">
        <v>105</v>
      </c>
    </row>
    <row r="16" spans="1:24" ht="135" x14ac:dyDescent="0.25">
      <c r="A16" s="2" t="s">
        <v>106</v>
      </c>
      <c r="B16" s="2" t="s">
        <v>107</v>
      </c>
      <c r="C16" s="5"/>
      <c r="D16" s="7" t="s">
        <v>108</v>
      </c>
      <c r="E16" s="7" t="s">
        <v>34</v>
      </c>
      <c r="F16" s="7" t="s">
        <v>41</v>
      </c>
      <c r="G16" s="7" t="s">
        <v>76</v>
      </c>
      <c r="H16" s="14" t="s">
        <v>240</v>
      </c>
      <c r="I16" s="9" t="s">
        <v>43</v>
      </c>
      <c r="J16" s="14" t="s">
        <v>241</v>
      </c>
      <c r="K16" s="28">
        <v>0.81</v>
      </c>
      <c r="L16" s="28">
        <v>0.82</v>
      </c>
      <c r="M16" s="8">
        <v>45938</v>
      </c>
      <c r="N16" s="8">
        <v>46383</v>
      </c>
      <c r="O16" s="8">
        <v>46365</v>
      </c>
      <c r="P16" s="8">
        <v>46321</v>
      </c>
      <c r="Q16" s="4" t="s">
        <v>272</v>
      </c>
      <c r="R16" s="4" t="s">
        <v>273</v>
      </c>
      <c r="S16" s="3" t="s">
        <v>274</v>
      </c>
      <c r="T16" s="6"/>
      <c r="U16" s="3" t="s">
        <v>242</v>
      </c>
      <c r="V16" s="3" t="s">
        <v>275</v>
      </c>
      <c r="W16" s="3" t="s">
        <v>243</v>
      </c>
      <c r="X16" s="3" t="s">
        <v>109</v>
      </c>
    </row>
    <row r="17" spans="1:24" ht="45" x14ac:dyDescent="0.25">
      <c r="A17" s="2" t="s">
        <v>110</v>
      </c>
      <c r="B17" s="2" t="s">
        <v>111</v>
      </c>
      <c r="C17" s="5"/>
      <c r="D17" s="7" t="s">
        <v>112</v>
      </c>
      <c r="E17" s="7" t="s">
        <v>113</v>
      </c>
      <c r="F17" s="7" t="s">
        <v>41</v>
      </c>
      <c r="G17" s="7" t="s">
        <v>42</v>
      </c>
      <c r="H17" s="14" t="s">
        <v>244</v>
      </c>
      <c r="I17" s="9" t="s">
        <v>43</v>
      </c>
      <c r="J17" s="14" t="s">
        <v>245</v>
      </c>
      <c r="K17" s="28">
        <v>0.9</v>
      </c>
      <c r="L17" s="28">
        <v>0.9</v>
      </c>
      <c r="M17" s="8">
        <v>45901</v>
      </c>
      <c r="N17" s="8">
        <v>46351</v>
      </c>
      <c r="O17" s="8">
        <v>46373</v>
      </c>
      <c r="P17" s="8">
        <v>46324</v>
      </c>
      <c r="Q17" s="4" t="s">
        <v>246</v>
      </c>
      <c r="R17" s="3" t="s">
        <v>247</v>
      </c>
      <c r="S17" s="3"/>
      <c r="T17" s="6"/>
      <c r="U17" s="3" t="s">
        <v>248</v>
      </c>
      <c r="V17" s="3"/>
      <c r="W17" s="3" t="s">
        <v>114</v>
      </c>
      <c r="X17" s="3" t="s">
        <v>115</v>
      </c>
    </row>
    <row r="18" spans="1:24" ht="409.5" hidden="1" x14ac:dyDescent="0.25">
      <c r="A18" s="16" t="s">
        <v>116</v>
      </c>
      <c r="B18" s="17" t="s">
        <v>117</v>
      </c>
      <c r="C18" s="22"/>
      <c r="D18" s="19" t="s">
        <v>118</v>
      </c>
      <c r="E18" s="19" t="s">
        <v>34</v>
      </c>
      <c r="F18" s="19" t="s">
        <v>28</v>
      </c>
      <c r="G18" s="19" t="s">
        <v>28</v>
      </c>
      <c r="H18" s="17"/>
      <c r="I18" s="20"/>
      <c r="J18" s="21"/>
      <c r="K18" s="20">
        <v>100</v>
      </c>
      <c r="L18" s="20"/>
      <c r="M18" s="19"/>
      <c r="N18" s="19"/>
      <c r="O18" s="19"/>
      <c r="P18" s="19"/>
      <c r="Q18" s="22"/>
      <c r="R18" s="22"/>
      <c r="S18" s="22"/>
      <c r="T18" s="22"/>
      <c r="U18" s="22"/>
      <c r="V18" s="22"/>
      <c r="W18" s="23" t="s">
        <v>119</v>
      </c>
      <c r="X18" s="23" t="s">
        <v>120</v>
      </c>
    </row>
    <row r="19" spans="1:24" ht="75" hidden="1" x14ac:dyDescent="0.25">
      <c r="A19" s="16" t="s">
        <v>121</v>
      </c>
      <c r="B19" s="17" t="s">
        <v>122</v>
      </c>
      <c r="C19" s="18" t="s">
        <v>39</v>
      </c>
      <c r="D19" s="19"/>
      <c r="E19" s="19" t="s">
        <v>123</v>
      </c>
      <c r="F19" s="19" t="s">
        <v>28</v>
      </c>
      <c r="G19" s="19" t="s">
        <v>28</v>
      </c>
      <c r="H19" s="17"/>
      <c r="I19" s="20"/>
      <c r="J19" s="21"/>
      <c r="K19" s="20">
        <v>100</v>
      </c>
      <c r="L19" s="20"/>
      <c r="M19" s="19"/>
      <c r="N19" s="19"/>
      <c r="O19" s="19"/>
      <c r="P19" s="19"/>
      <c r="Q19" s="22"/>
      <c r="R19" s="22"/>
      <c r="S19" s="22"/>
      <c r="T19" s="22"/>
      <c r="U19" s="22"/>
      <c r="V19" s="22"/>
      <c r="W19" s="23" t="s">
        <v>124</v>
      </c>
      <c r="X19" s="23" t="s">
        <v>125</v>
      </c>
    </row>
    <row r="20" spans="1:24" ht="90" hidden="1" x14ac:dyDescent="0.25">
      <c r="A20" s="16" t="s">
        <v>126</v>
      </c>
      <c r="B20" s="17" t="s">
        <v>127</v>
      </c>
      <c r="C20" s="18" t="s">
        <v>128</v>
      </c>
      <c r="D20" s="19"/>
      <c r="E20" s="19" t="s">
        <v>48</v>
      </c>
      <c r="F20" s="19" t="s">
        <v>28</v>
      </c>
      <c r="G20" s="19" t="s">
        <v>28</v>
      </c>
      <c r="H20" s="17"/>
      <c r="I20" s="20"/>
      <c r="J20" s="21"/>
      <c r="K20" s="20">
        <v>100</v>
      </c>
      <c r="L20" s="20"/>
      <c r="M20" s="19"/>
      <c r="N20" s="19"/>
      <c r="O20" s="19"/>
      <c r="P20" s="19"/>
      <c r="Q20" s="22"/>
      <c r="R20" s="22"/>
      <c r="S20" s="22"/>
      <c r="T20" s="22"/>
      <c r="U20" s="22"/>
      <c r="V20" s="22"/>
      <c r="W20" s="23" t="s">
        <v>129</v>
      </c>
      <c r="X20" s="23" t="s">
        <v>130</v>
      </c>
    </row>
    <row r="21" spans="1:24" ht="105" hidden="1" x14ac:dyDescent="0.25">
      <c r="A21" s="16" t="s">
        <v>131</v>
      </c>
      <c r="B21" s="17" t="s">
        <v>132</v>
      </c>
      <c r="C21" s="18" t="s">
        <v>39</v>
      </c>
      <c r="D21" s="19"/>
      <c r="E21" s="19" t="s">
        <v>81</v>
      </c>
      <c r="F21" s="19" t="s">
        <v>28</v>
      </c>
      <c r="G21" s="19" t="s">
        <v>28</v>
      </c>
      <c r="H21" s="17"/>
      <c r="I21" s="20"/>
      <c r="J21" s="21"/>
      <c r="K21" s="20">
        <v>100</v>
      </c>
      <c r="L21" s="20"/>
      <c r="M21" s="19"/>
      <c r="N21" s="19"/>
      <c r="O21" s="19"/>
      <c r="P21" s="19"/>
      <c r="Q21" s="22"/>
      <c r="R21" s="22"/>
      <c r="S21" s="22"/>
      <c r="T21" s="22"/>
      <c r="U21" s="22"/>
      <c r="V21" s="22"/>
      <c r="W21" s="23" t="s">
        <v>133</v>
      </c>
      <c r="X21" s="23" t="s">
        <v>134</v>
      </c>
    </row>
    <row r="22" spans="1:24" ht="180" x14ac:dyDescent="0.25">
      <c r="A22" s="2" t="s">
        <v>135</v>
      </c>
      <c r="B22" s="2" t="s">
        <v>136</v>
      </c>
      <c r="C22" s="25" t="s">
        <v>222</v>
      </c>
      <c r="D22" s="7" t="s">
        <v>108</v>
      </c>
      <c r="E22" s="7" t="s">
        <v>137</v>
      </c>
      <c r="F22" s="7" t="s">
        <v>41</v>
      </c>
      <c r="G22" s="7" t="s">
        <v>42</v>
      </c>
      <c r="H22" s="14" t="s">
        <v>249</v>
      </c>
      <c r="I22" s="9" t="s">
        <v>43</v>
      </c>
      <c r="J22" s="14" t="s">
        <v>250</v>
      </c>
      <c r="K22" s="28">
        <v>0.95</v>
      </c>
      <c r="L22" s="28">
        <v>1</v>
      </c>
      <c r="M22" s="8">
        <v>45988</v>
      </c>
      <c r="N22" s="8">
        <v>46204</v>
      </c>
      <c r="O22" s="8">
        <v>46379</v>
      </c>
      <c r="P22" s="8">
        <v>46321</v>
      </c>
      <c r="Q22" s="14" t="s">
        <v>251</v>
      </c>
      <c r="R22" s="3" t="s">
        <v>252</v>
      </c>
      <c r="S22" s="3"/>
      <c r="T22" s="6"/>
      <c r="U22" s="3"/>
      <c r="V22" s="3"/>
      <c r="W22" s="3" t="s">
        <v>253</v>
      </c>
      <c r="X22" s="3" t="s">
        <v>138</v>
      </c>
    </row>
    <row r="23" spans="1:24" ht="285" x14ac:dyDescent="0.25">
      <c r="A23" s="2" t="s">
        <v>139</v>
      </c>
      <c r="B23" s="2" t="s">
        <v>140</v>
      </c>
      <c r="C23" s="5"/>
      <c r="D23" s="7" t="s">
        <v>141</v>
      </c>
      <c r="E23" s="7" t="s">
        <v>81</v>
      </c>
      <c r="F23" s="7" t="s">
        <v>41</v>
      </c>
      <c r="G23" s="7" t="s">
        <v>76</v>
      </c>
      <c r="H23" s="14" t="s">
        <v>276</v>
      </c>
      <c r="I23" s="9" t="s">
        <v>43</v>
      </c>
      <c r="J23" s="14" t="s">
        <v>142</v>
      </c>
      <c r="K23" s="28">
        <v>0.5</v>
      </c>
      <c r="L23" s="28">
        <v>1</v>
      </c>
      <c r="M23" s="8">
        <v>46111</v>
      </c>
      <c r="N23" s="8">
        <v>46187</v>
      </c>
      <c r="O23" s="7"/>
      <c r="P23" s="8">
        <v>46324</v>
      </c>
      <c r="Q23" s="4" t="s">
        <v>143</v>
      </c>
      <c r="R23" s="3" t="s">
        <v>254</v>
      </c>
      <c r="S23" s="3" t="s">
        <v>255</v>
      </c>
      <c r="T23" s="3" t="s">
        <v>256</v>
      </c>
      <c r="U23" s="3"/>
      <c r="V23" s="3" t="s">
        <v>257</v>
      </c>
      <c r="W23" s="3" t="s">
        <v>144</v>
      </c>
      <c r="X23" s="3" t="s">
        <v>145</v>
      </c>
    </row>
    <row r="24" spans="1:24" ht="75" hidden="1" x14ac:dyDescent="0.25">
      <c r="A24" s="16" t="s">
        <v>146</v>
      </c>
      <c r="B24" s="17" t="s">
        <v>147</v>
      </c>
      <c r="C24" s="18" t="s">
        <v>148</v>
      </c>
      <c r="D24" s="19"/>
      <c r="E24" s="19" t="s">
        <v>149</v>
      </c>
      <c r="F24" s="19" t="s">
        <v>28</v>
      </c>
      <c r="G24" s="19" t="s">
        <v>28</v>
      </c>
      <c r="H24" s="17"/>
      <c r="I24" s="20"/>
      <c r="J24" s="21"/>
      <c r="K24" s="20">
        <v>100</v>
      </c>
      <c r="L24" s="20"/>
      <c r="M24" s="19"/>
      <c r="N24" s="19"/>
      <c r="O24" s="19"/>
      <c r="P24" s="19"/>
      <c r="Q24" s="22"/>
      <c r="R24" s="22"/>
      <c r="S24" s="22"/>
      <c r="T24" s="22"/>
      <c r="U24" s="22"/>
      <c r="V24" s="22"/>
      <c r="W24" s="23" t="s">
        <v>150</v>
      </c>
      <c r="X24" s="23" t="s">
        <v>151</v>
      </c>
    </row>
    <row r="25" spans="1:24" ht="60" hidden="1" x14ac:dyDescent="0.25">
      <c r="A25" s="16" t="s">
        <v>152</v>
      </c>
      <c r="B25" s="17" t="s">
        <v>153</v>
      </c>
      <c r="C25" s="18" t="s">
        <v>154</v>
      </c>
      <c r="D25" s="19"/>
      <c r="E25" s="19" t="s">
        <v>48</v>
      </c>
      <c r="F25" s="19" t="s">
        <v>28</v>
      </c>
      <c r="G25" s="19" t="s">
        <v>28</v>
      </c>
      <c r="H25" s="17"/>
      <c r="I25" s="20"/>
      <c r="J25" s="21"/>
      <c r="K25" s="20">
        <v>100</v>
      </c>
      <c r="L25" s="20"/>
      <c r="M25" s="19"/>
      <c r="N25" s="19"/>
      <c r="O25" s="19"/>
      <c r="P25" s="19"/>
      <c r="Q25" s="22"/>
      <c r="R25" s="22"/>
      <c r="S25" s="22"/>
      <c r="T25" s="22"/>
      <c r="U25" s="22"/>
      <c r="V25" s="22"/>
      <c r="W25" s="23" t="s">
        <v>155</v>
      </c>
      <c r="X25" s="23" t="s">
        <v>156</v>
      </c>
    </row>
    <row r="26" spans="1:24" ht="300" x14ac:dyDescent="0.25">
      <c r="A26" s="2" t="s">
        <v>157</v>
      </c>
      <c r="B26" s="2" t="s">
        <v>158</v>
      </c>
      <c r="C26" s="5"/>
      <c r="D26" s="7" t="s">
        <v>159</v>
      </c>
      <c r="E26" s="7" t="s">
        <v>53</v>
      </c>
      <c r="F26" s="7" t="s">
        <v>41</v>
      </c>
      <c r="G26" s="7" t="s">
        <v>76</v>
      </c>
      <c r="H26" s="14" t="s">
        <v>277</v>
      </c>
      <c r="I26" s="9" t="s">
        <v>43</v>
      </c>
      <c r="J26" s="14" t="s">
        <v>258</v>
      </c>
      <c r="K26" s="28">
        <v>0.99</v>
      </c>
      <c r="L26" s="28">
        <v>1</v>
      </c>
      <c r="M26" s="8">
        <v>46042</v>
      </c>
      <c r="N26" s="8">
        <v>46295</v>
      </c>
      <c r="O26" s="8">
        <v>46356</v>
      </c>
      <c r="P26" s="8">
        <v>46323</v>
      </c>
      <c r="Q26" s="14" t="s">
        <v>258</v>
      </c>
      <c r="R26" s="14" t="s">
        <v>278</v>
      </c>
      <c r="S26" s="3" t="s">
        <v>259</v>
      </c>
      <c r="T26" s="6"/>
      <c r="U26" s="3"/>
      <c r="V26" s="3" t="s">
        <v>160</v>
      </c>
      <c r="W26" s="3" t="s">
        <v>260</v>
      </c>
      <c r="X26" s="3" t="s">
        <v>161</v>
      </c>
    </row>
    <row r="27" spans="1:24" ht="150" x14ac:dyDescent="0.25">
      <c r="A27" s="2" t="s">
        <v>162</v>
      </c>
      <c r="B27" s="2" t="s">
        <v>163</v>
      </c>
      <c r="C27" s="15" t="s">
        <v>261</v>
      </c>
      <c r="D27" s="7" t="s">
        <v>164</v>
      </c>
      <c r="E27" s="9" t="s">
        <v>75</v>
      </c>
      <c r="F27" s="9" t="s">
        <v>41</v>
      </c>
      <c r="G27" s="9" t="s">
        <v>76</v>
      </c>
      <c r="H27" s="14" t="s">
        <v>262</v>
      </c>
      <c r="I27" s="9" t="s">
        <v>43</v>
      </c>
      <c r="J27" s="14" t="s">
        <v>263</v>
      </c>
      <c r="K27" s="30">
        <v>0.92</v>
      </c>
      <c r="L27" s="30">
        <v>1</v>
      </c>
      <c r="M27" s="10">
        <v>45511</v>
      </c>
      <c r="N27" s="10">
        <v>45699</v>
      </c>
      <c r="O27" s="10">
        <v>46421</v>
      </c>
      <c r="P27" s="10">
        <v>46303</v>
      </c>
      <c r="Q27" s="4" t="s">
        <v>279</v>
      </c>
      <c r="R27" s="3" t="s">
        <v>280</v>
      </c>
      <c r="S27" s="3" t="s">
        <v>264</v>
      </c>
      <c r="T27" s="3"/>
      <c r="U27" s="3" t="s">
        <v>165</v>
      </c>
      <c r="V27" s="3"/>
      <c r="W27" s="3" t="s">
        <v>265</v>
      </c>
      <c r="X27" s="3" t="s">
        <v>166</v>
      </c>
    </row>
    <row r="28" spans="1:24" ht="90" hidden="1" x14ac:dyDescent="0.25">
      <c r="A28" s="16" t="s">
        <v>167</v>
      </c>
      <c r="B28" s="24" t="s">
        <v>168</v>
      </c>
      <c r="C28" s="18" t="s">
        <v>169</v>
      </c>
      <c r="D28" s="19"/>
      <c r="E28" s="19" t="s">
        <v>53</v>
      </c>
      <c r="F28" s="19" t="s">
        <v>28</v>
      </c>
      <c r="G28" s="19" t="s">
        <v>28</v>
      </c>
      <c r="H28" s="17"/>
      <c r="I28" s="20"/>
      <c r="J28" s="21"/>
      <c r="K28" s="20">
        <v>100</v>
      </c>
      <c r="L28" s="20"/>
      <c r="M28" s="19"/>
      <c r="N28" s="19"/>
      <c r="O28" s="19"/>
      <c r="P28" s="19"/>
      <c r="Q28" s="22"/>
      <c r="R28" s="22"/>
      <c r="S28" s="22"/>
      <c r="T28" s="22"/>
      <c r="U28" s="22"/>
      <c r="V28" s="22"/>
      <c r="W28" s="23" t="s">
        <v>170</v>
      </c>
      <c r="X28" s="23" t="s">
        <v>171</v>
      </c>
    </row>
    <row r="29" spans="1:24" ht="105" hidden="1" x14ac:dyDescent="0.25">
      <c r="A29" s="16" t="s">
        <v>172</v>
      </c>
      <c r="B29" s="17" t="s">
        <v>173</v>
      </c>
      <c r="C29" s="18" t="s">
        <v>174</v>
      </c>
      <c r="D29" s="19"/>
      <c r="E29" s="19" t="s">
        <v>175</v>
      </c>
      <c r="F29" s="19" t="s">
        <v>28</v>
      </c>
      <c r="G29" s="19" t="s">
        <v>28</v>
      </c>
      <c r="H29" s="17"/>
      <c r="I29" s="20"/>
      <c r="J29" s="21"/>
      <c r="K29" s="20">
        <v>100</v>
      </c>
      <c r="L29" s="20"/>
      <c r="M29" s="19"/>
      <c r="N29" s="19"/>
      <c r="O29" s="19"/>
      <c r="P29" s="19"/>
      <c r="Q29" s="22"/>
      <c r="R29" s="22"/>
      <c r="S29" s="22"/>
      <c r="T29" s="22"/>
      <c r="U29" s="22"/>
      <c r="V29" s="22"/>
      <c r="W29" s="23" t="s">
        <v>176</v>
      </c>
      <c r="X29" s="23" t="s">
        <v>177</v>
      </c>
    </row>
    <row r="30" spans="1:24" ht="60" hidden="1" x14ac:dyDescent="0.25">
      <c r="A30" s="16" t="s">
        <v>178</v>
      </c>
      <c r="B30" s="17" t="s">
        <v>179</v>
      </c>
      <c r="C30" s="18" t="s">
        <v>39</v>
      </c>
      <c r="D30" s="19"/>
      <c r="E30" s="19" t="s">
        <v>137</v>
      </c>
      <c r="F30" s="19" t="s">
        <v>28</v>
      </c>
      <c r="G30" s="19" t="s">
        <v>28</v>
      </c>
      <c r="H30" s="17"/>
      <c r="I30" s="20"/>
      <c r="J30" s="21"/>
      <c r="K30" s="20">
        <v>100</v>
      </c>
      <c r="L30" s="20"/>
      <c r="M30" s="19"/>
      <c r="N30" s="19"/>
      <c r="O30" s="19"/>
      <c r="P30" s="19"/>
      <c r="Q30" s="22"/>
      <c r="R30" s="22"/>
      <c r="S30" s="22"/>
      <c r="T30" s="22"/>
      <c r="U30" s="22"/>
      <c r="V30" s="22"/>
      <c r="W30" s="23" t="s">
        <v>180</v>
      </c>
      <c r="X30" s="23" t="s">
        <v>181</v>
      </c>
    </row>
    <row r="31" spans="1:24" ht="60" hidden="1" x14ac:dyDescent="0.25">
      <c r="A31" s="16" t="s">
        <v>182</v>
      </c>
      <c r="B31" s="17" t="s">
        <v>183</v>
      </c>
      <c r="C31" s="22"/>
      <c r="D31" s="19" t="s">
        <v>184</v>
      </c>
      <c r="E31" s="19" t="s">
        <v>113</v>
      </c>
      <c r="F31" s="19" t="s">
        <v>28</v>
      </c>
      <c r="G31" s="19" t="s">
        <v>28</v>
      </c>
      <c r="H31" s="17"/>
      <c r="I31" s="20"/>
      <c r="J31" s="21"/>
      <c r="K31" s="20">
        <v>100</v>
      </c>
      <c r="L31" s="20"/>
      <c r="M31" s="19"/>
      <c r="N31" s="19"/>
      <c r="O31" s="19"/>
      <c r="P31" s="19"/>
      <c r="Q31" s="22"/>
      <c r="R31" s="22"/>
      <c r="S31" s="22"/>
      <c r="T31" s="22"/>
      <c r="U31" s="22"/>
      <c r="V31" s="22"/>
      <c r="W31" s="23" t="s">
        <v>185</v>
      </c>
      <c r="X31" s="23" t="s">
        <v>186</v>
      </c>
    </row>
    <row r="32" spans="1:24" ht="90" hidden="1" x14ac:dyDescent="0.25">
      <c r="A32" s="16" t="s">
        <v>187</v>
      </c>
      <c r="B32" s="17" t="s">
        <v>188</v>
      </c>
      <c r="C32" s="22"/>
      <c r="D32" s="19" t="s">
        <v>33</v>
      </c>
      <c r="E32" s="19" t="s">
        <v>189</v>
      </c>
      <c r="F32" s="19" t="s">
        <v>28</v>
      </c>
      <c r="G32" s="19" t="s">
        <v>28</v>
      </c>
      <c r="H32" s="17"/>
      <c r="I32" s="20"/>
      <c r="J32" s="21"/>
      <c r="K32" s="20">
        <v>100</v>
      </c>
      <c r="L32" s="20"/>
      <c r="M32" s="19"/>
      <c r="N32" s="19"/>
      <c r="O32" s="19"/>
      <c r="P32" s="19"/>
      <c r="Q32" s="22"/>
      <c r="R32" s="22"/>
      <c r="S32" s="22"/>
      <c r="T32" s="22"/>
      <c r="U32" s="22"/>
      <c r="V32" s="22"/>
      <c r="W32" s="23" t="s">
        <v>190</v>
      </c>
      <c r="X32" s="23" t="s">
        <v>191</v>
      </c>
    </row>
    <row r="33" spans="1:24" ht="135" hidden="1" x14ac:dyDescent="0.25">
      <c r="A33" s="16" t="s">
        <v>192</v>
      </c>
      <c r="B33" s="17" t="s">
        <v>193</v>
      </c>
      <c r="C33" s="22"/>
      <c r="D33" s="19" t="s">
        <v>194</v>
      </c>
      <c r="E33" s="19" t="s">
        <v>75</v>
      </c>
      <c r="F33" s="19" t="s">
        <v>28</v>
      </c>
      <c r="G33" s="19" t="s">
        <v>28</v>
      </c>
      <c r="H33" s="17"/>
      <c r="I33" s="20"/>
      <c r="J33" s="21"/>
      <c r="K33" s="20">
        <v>100</v>
      </c>
      <c r="L33" s="20"/>
      <c r="M33" s="19"/>
      <c r="N33" s="19"/>
      <c r="O33" s="19"/>
      <c r="P33" s="19"/>
      <c r="Q33" s="22"/>
      <c r="R33" s="22"/>
      <c r="S33" s="22"/>
      <c r="T33" s="22"/>
      <c r="U33" s="22"/>
      <c r="V33" s="22"/>
      <c r="W33" s="23" t="s">
        <v>195</v>
      </c>
      <c r="X33" s="23" t="s">
        <v>196</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 Q26:R26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x14ac:dyDescent="0.25"/>
  <cols>
    <col min="1" max="7" width="10.5703125" customWidth="1"/>
  </cols>
  <sheetData>
    <row r="1" spans="1:7" ht="30" x14ac:dyDescent="0.25">
      <c r="A1" s="1" t="s">
        <v>5</v>
      </c>
      <c r="B1" s="1" t="s">
        <v>6</v>
      </c>
      <c r="C1" s="1" t="s">
        <v>197</v>
      </c>
      <c r="D1" s="1" t="s">
        <v>198</v>
      </c>
      <c r="E1" s="1" t="s">
        <v>199</v>
      </c>
      <c r="F1" s="1" t="s">
        <v>200</v>
      </c>
      <c r="G1" s="1" t="s">
        <v>201</v>
      </c>
    </row>
    <row r="2" spans="1:7" ht="30" x14ac:dyDescent="0.25">
      <c r="A2" s="1" t="s">
        <v>202</v>
      </c>
      <c r="B2" s="1" t="s">
        <v>42</v>
      </c>
      <c r="C2" s="1" t="s">
        <v>203</v>
      </c>
      <c r="D2" s="1" t="s">
        <v>204</v>
      </c>
      <c r="E2" s="1" t="s">
        <v>205</v>
      </c>
      <c r="F2" s="1" t="s">
        <v>206</v>
      </c>
      <c r="G2" s="1" t="s">
        <v>207</v>
      </c>
    </row>
    <row r="3" spans="1:7" ht="45" x14ac:dyDescent="0.25">
      <c r="A3" s="1" t="s">
        <v>208</v>
      </c>
      <c r="B3" s="1" t="s">
        <v>76</v>
      </c>
      <c r="C3" s="1" t="s">
        <v>41</v>
      </c>
      <c r="D3" s="1" t="s">
        <v>41</v>
      </c>
      <c r="E3" s="1" t="s">
        <v>209</v>
      </c>
      <c r="F3" s="1" t="s">
        <v>210</v>
      </c>
      <c r="G3" s="1" t="s">
        <v>211</v>
      </c>
    </row>
    <row r="4" spans="1:7" ht="45" x14ac:dyDescent="0.25">
      <c r="A4" s="1" t="s">
        <v>41</v>
      </c>
      <c r="B4" s="1" t="s">
        <v>212</v>
      </c>
      <c r="C4" s="1" t="s">
        <v>213</v>
      </c>
      <c r="D4" s="1" t="s">
        <v>28</v>
      </c>
      <c r="E4" s="1" t="s">
        <v>214</v>
      </c>
      <c r="F4" s="1" t="s">
        <v>215</v>
      </c>
      <c r="G4" s="1" t="s">
        <v>216</v>
      </c>
    </row>
    <row r="5" spans="1:7" ht="30" x14ac:dyDescent="0.25">
      <c r="A5" s="1" t="s">
        <v>217</v>
      </c>
      <c r="B5" s="1" t="s">
        <v>28</v>
      </c>
      <c r="C5" s="1" t="s">
        <v>218</v>
      </c>
      <c r="D5" s="1" t="s">
        <v>219</v>
      </c>
      <c r="E5" s="1"/>
      <c r="F5" s="1"/>
      <c r="G5" s="1" t="s">
        <v>220</v>
      </c>
    </row>
    <row r="6" spans="1:7" x14ac:dyDescent="0.25">
      <c r="A6" s="1" t="s">
        <v>28</v>
      </c>
      <c r="B6" s="1"/>
      <c r="C6" s="1"/>
      <c r="D6" s="1"/>
      <c r="E6" s="1"/>
      <c r="F6" s="1"/>
      <c r="G6" s="1"/>
    </row>
    <row r="7" spans="1:7" x14ac:dyDescent="0.25">
      <c r="A7" s="1" t="s">
        <v>221</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8CA860-76E1-4F5F-B46F-7BF705BE868D}">
  <ds:schemaRefs>
    <ds:schemaRef ds:uri="http://schemas.microsoft.com/office/2006/metadata/properties"/>
    <ds:schemaRef ds:uri="http://schemas.microsoft.com/office/infopath/2007/PartnerControls"/>
    <ds:schemaRef ds:uri="fbf5d18f-a539-415a-b4b5-b13bf63fbc53"/>
    <ds:schemaRef ds:uri="3de8a3b1-ed4f-410f-8887-f682d26381a0"/>
  </ds:schemaRefs>
</ds:datastoreItem>
</file>

<file path=customXml/itemProps2.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FB5EC8F-6DDA-4EEB-ACA6-454A491FFD4A}">
  <ds:schemaRefs>
    <ds:schemaRef ds:uri="http://schemas.microsoft.com/sharepoint/v3/contenttype/forms"/>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Akihiro Hayashi</cp:lastModifiedBy>
  <cp:revision/>
  <dcterms:created xsi:type="dcterms:W3CDTF">2026-09-11T12:48:20Z</dcterms:created>
  <dcterms:modified xsi:type="dcterms:W3CDTF">2026-10-29T13:13:41Z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