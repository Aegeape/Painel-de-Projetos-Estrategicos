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335" documentId="13_ncr:1_{C022C224-A2A7-44D3-B1AB-68C62AAA0AED}" xr6:coauthVersionLast="47" xr6:coauthVersionMax="47" xr10:uidLastSave="{CC4D2808-A13E-4B24-81AE-59B6DE91114A}"/>
  <bookViews>
    <workbookView xWindow="-120" yWindow="-16320" windowWidth="29040" windowHeight="157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<sst xmlns="http://schemas.openxmlformats.org/spreadsheetml/2006/main" count="385" uniqueCount="280">
  <si>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</si>
  <si>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</si>
  <si>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</si>
  <si>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</si>
  <si>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</si>
  <si>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</si>
  <si>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</si>
  <si>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</si>
  <si>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</si>
  <si>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</si>
  <si>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</si>
  <si>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</si>
  <si>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</si>
  <si>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</si>
  <si>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</si>
  <si>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</si>
  <si>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</si>
  <si>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</si>
  <si>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</si>
  <si>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</si>
  <si>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</si>
  <si>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</si>
  <si>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</si>
  <si>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</si>
  <si>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</si>
  <si>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</si>
  <si>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</si>
  <si>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</si>
  <si>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</si>
  <si>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</si>
  <si>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</si>
  <si>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</si>
  <si>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</si>
  <si>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</si>
  <si>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</si>
  <si>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</si>
  <si>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</si>
  <si>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</si>
  <si>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</si>
  <si>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</si>
  <si>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</si>
  <si>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</si>
  <si>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</si>
  <si>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Live 1.0 - entregue
Consulta de peças - entregue
Live 2.0 em andamento sem impeditivos</t>
  </si>
  <si>
    <t>19/20/2026 a 23/10/2026</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</si>
  <si>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 1.0
Live2.0
Autorização de Transporte Escolar (ATE)
Gestão de Procuração 2.0
Emplacar Veículo 0Km
Novo APP DETRAN-SP</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</si>
  <si>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</si>
  <si>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</si>
  <si>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</si>
  <si>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</si>
  <si>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</si>
  <si>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</si>
  <si>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</si>
  <si>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</si>
  <si>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</si>
  <si>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</si>
  <si>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t>
  </si>
  <si>
    <t>19/10/2026 a 23/10/2026</t>
  </si>
  <si>
    <t xml:space="preserve">Novo app
</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</si>
  <si>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</si>
  <si>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</si>
  <si>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</si>
  <si>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</si>
  <si>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</si>
  <si>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</si>
  <si>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</si>
  <si>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</si>
  <si>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</si>
  <si>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</si>
  <si>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</si>
  <si>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</si>
  <si>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</si>
  <si>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</si>
  <si>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</si>
  <si>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</si>
  <si>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</si>
  <si>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</si>
  <si>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</si>
  <si>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</si>
  <si>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</si>
  <si>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</si>
  <si>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</si>
  <si>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Portaria DETRAN-SP Nº 2.889, DE 25 DE ABRIL DE 2024</t>
  </si>
  <si>
    <t>Isabella Monteiro</t>
  </si>
  <si>
    <t>DFT</t>
  </si>
  <si>
    <t>Atenção</t>
  </si>
  <si>
    <t>Mudança de estratégia: 
Decisão de entrar na licitação da PRF para aquisição das câmeras corporais;
Dependência de licitação a ser realizada por outro órgão;
Até o momento não temos resposta da PRF sobre a licitação.</t>
  </si>
  <si>
    <t xml:space="preserve">Nenhuma realização relevante registrada no período.
</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</si>
  <si>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</si>
  <si>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</si>
  <si>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Dependência da licitação da PRF.</t>
  </si>
  <si>
    <t>Estudar e implementar solução de monitoramento audiovisual da atuação do Departamento Estadual de Trânsito do Estado de São Paulo (DETRAN-SP).</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</si>
  <si>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</si>
  <si>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</si>
  <si>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</si>
  <si>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</si>
  <si>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</si>
  <si>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</si>
  <si>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</si>
  <si>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</si>
  <si>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</si>
  <si>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Priscilla Elias e Silva</t>
  </si>
  <si>
    <t>AEPE</t>
  </si>
  <si>
    <t xml:space="preserve">Demora no processo de contratação pela área de infraestrutura.
Desenhos técnicos necessários para contratação disponibilizados desde julho/2026.
</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</si>
  <si>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</si>
  <si>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</si>
  <si>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</si>
  <si>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Cronograma com estimativa do prazo final</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</si>
  <si>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</si>
  <si>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</si>
  <si>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</si>
  <si>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</si>
  <si>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</si>
  <si>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</si>
  <si>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</si>
  <si>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</si>
  <si>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</si>
  <si>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</si>
  <si>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</si>
  <si>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</si>
  <si>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</si>
  <si>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</si>
  <si>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</si>
  <si>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</si>
  <si>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</si>
  <si>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</si>
  <si>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</si>
  <si>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</si>
  <si>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O projeto original contemplava os módulos ITSM, ITAM e ITOM.
Atualmente os módulos ITAM e ITOM estão "congelados" e os esforços estão concentrados apenas no ITSM.</t>
  </si>
  <si>
    <t>26/10/2026 a 29/10/2026</t>
  </si>
  <si>
    <t>Entrega dos Catalogos de Serviço das divisões DAFT, implantar melhorias urgentes, DETRAN-SP -28/09/20026.</t>
  </si>
  <si>
    <t>Entrega do catálogo da Divisão de Auditoria Forense Digital, interrompida a construção do Catálogo da Divisão de Segurança da Informação, atender as solicitações de melhorias urgentes, conceder acesso aos assistentens técnicos 3, adicionar função para ciação de rótulo no VTB, adicionar log na atividade de troca de grupo e atalho para página VTB;</t>
  </si>
  <si>
    <t>Módulos ITAM e ITOM estão "congelados" e os esforços estão concentrados apenas no ITSM.</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</si>
  <si>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</si>
  <si>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</si>
  <si>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</si>
  <si>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</si>
  <si>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Lincon Lacerda</t>
  </si>
  <si>
    <t>AEGE</t>
  </si>
  <si>
    <t>Mapeamento de todas as jornadas finalizado como planejado.</t>
  </si>
  <si>
    <t>Reavaliação do trabalho pela AME, com ajuste no foco da entrega e na resolução do To-be.</t>
  </si>
  <si>
    <t>Todas jornadas finalizadas
Todas as jornadas revisadas</t>
  </si>
  <si>
    <t>Realinhar formato de indicadores de cada melhoria.</t>
  </si>
  <si>
    <t xml:space="preserve">Validação das jornadas. </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</si>
  <si>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</si>
  <si>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</si>
  <si>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</si>
  <si>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</si>
  <si>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</si>
  <si>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</si>
  <si>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</si>
  <si>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</si>
  <si>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</si>
  <si>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</si>
  <si>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 xml:space="preserve">Criar aplicativo parta a liberação imediada de veículo recolhido, mediante o pagamento de todas as taxas recolhido </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</si>
  <si>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</si>
  <si>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</si>
  <si>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</si>
  <si>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</si>
  <si>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</si>
  <si>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</si>
  <si>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</si>
  <si>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</si>
  <si>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</si>
  <si>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</si>
  <si>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PRJ007</t>
  </si>
  <si>
    <t>PLATAFORMA ESTADUAL DE VISTORIA</t>
  </si>
  <si>
    <t>DVA</t>
  </si>
  <si>
    <t>Em andamento sem impeditivo.</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</si>
  <si>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</si>
  <si>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</si>
  <si>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</si>
  <si>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</si>
  <si>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</si>
  <si>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Projeto apresenta significativo atraso e não há previsão para o término.
Agente OCR - Integração com portal - Best: tem bloqueio de liberação de recursos do Azure.
- Treinamento - TBD;
- Homologação - TBD;
- GMUD - TBD.
Agente Q&amp;A da Wiki ("Isa") - wave 2 - Integração com o portal - Best:
- Desenvolvimento - 30/10;
- GMUD - 06/11.
Agente Revisor de Conteúdo da wiki - wave 3:
- Entrega Microsoft e Integração com portal pela Best - sem previsão.</t>
  </si>
  <si>
    <t>Sistema de Atendimento: GMUD  apenas ECVs - 05/10/2026</t>
  </si>
  <si>
    <t>Base de Conhecimento - entregue 14/06/2026
Sistema de Atendimento - entregue 14/06/2026 (homologação)
Base de Conhecimento - correções - entregue 30/09/2026</t>
  </si>
  <si>
    <t>Agente OCR de Documentos de Credenciamento - integração com o portal:
--    Treinamento - TBD
--    Homologação - TBD
--    GMUD - TBD
--    Denilson/Gianini (GP Prodesp) acionará Ricardo Aragão (superintendente da BU) para destravar a migração de configuração OCR e Azure para Produção e seguir com cronograma de entrega.
Agente Q&amp;A da Wiki ("Isa") - wave 2 - Microsoft - 06/11/2026
Agente Revisor de Conteúdo da wiki - wave 3:
--    Entrega Microsoft e Integração com portal pela Best - sem previsão</t>
  </si>
  <si>
    <t>O crédito a Microsoft foi aprovado pela Prodesp em 23/10, para custear recursos Azure em Produção e dar continuidade ao cronograma da entrega do OCR e Agentes IA wave2 e wave 3.</t>
  </si>
  <si>
    <t>OCR e Azure: tinha bloqueio de configurações e migração para produção até 23/10 -  Prodesp informou que recursos Azure geram custos e dependem de aprovações adicionais em ambiente de Produção. Esta aprovação foi realizada em 23/10.</t>
  </si>
  <si>
    <t>A falta de um cronograma definido pela MIcrosoft, e a necessidade de  integração com o portal a cargo da Best sinalizam atrasos significativos para esse projeto.</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</si>
  <si>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</si>
  <si>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</si>
  <si>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</si>
  <si>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</si>
  <si>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</si>
  <si>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</si>
  <si>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Implementar o Programa de Integridade, que consiste em um conjunto estuturado de ações e medidas institucionais para prevenção, detecção e punição de práticas de corrupção, de fraude, de desvios éticos e de outros ilícitos.</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</si>
  <si>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</si>
  <si>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</si>
  <si>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</si>
  <si>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</si>
  <si>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</si>
  <si>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</si>
  <si>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</si>
  <si>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</si>
  <si>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</si>
  <si>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Entrega V3.1: Correção de 10 itens prioritários:
- Homologação Detran: 11/11.
Publicação do app RST nas lojas Android (Google Play) e iOS (App Store): aguardando aprovação das lojas.
Cadastro dos primeiros usuários de Produção em andamento: Estimativa de 90 usuários em campo (prova em campo)
Mapa de lesões V4 - em desenvolvimento: 
- Homologação em 30/10.
Módulo CST (V4):
- Homologação Detran: 15/11;
- Estimativa Be Solution e viabilidade técnica: 23/10.</t>
  </si>
  <si>
    <t>Correção de Bugs da V3, iniciada subida em Produção, com publicação do App nas lojas e cadastro de usuários.</t>
  </si>
  <si>
    <t>Detran retornar o parecer sobre as documentações Anexos_C e Ordem_de_Serviço;
Entrega V3.1: Correção de 10 itens prioritários:
- Homologação Detran: 11/11.
Aprovação do APP pela lojas Android (Google Play) e iOS (App Store)
Mapa de lesões V4 em desenvolvimento:
- Homologação: 30/10.
Módulo CST (V4):
- Homologação Detran: 15/11.
- Estimativa Be Solution e viabilidade técnica: 23/10.</t>
  </si>
  <si>
    <t>Detran retornar o parecer sobre as documentações Anexos_C e Ordem_de_Serviço (previsão era 13/10, está atrasado)</t>
  </si>
  <si>
    <t>Possível revisão de escopo - impacto no cronograma</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</si>
  <si>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</si>
  <si>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</si>
  <si>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</si>
  <si>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</si>
  <si>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Portaria DETRAN-SP nº 4.830, de 30 de julho de 2024</t>
  </si>
  <si>
    <t>Cyntia Tiemi Nihy</t>
  </si>
  <si>
    <t>Projeto paralizado aguardando aprovação da etapa 4 pela Presidência
Devido a férias do P.O. do projeto essa aprovação só ocorrerá após 29/10.</t>
  </si>
  <si>
    <t>Etapa 3 - Concluída em 07/08/2026;
Etapa 4 definida pela DFT.</t>
  </si>
  <si>
    <t xml:space="preserve">
Etapa 4 -aprovação da presidência;
Etapa 4 - início - requisitos.
</t>
  </si>
  <si>
    <t xml:space="preserve">Aprovação  da etapa 4 - apenas após 29/10/2026, devido as férias do P.O. do projeto 
</t>
  </si>
  <si>
    <t>Aprovação da Etapa 4</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</si>
  <si>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</si>
  <si>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</si>
  <si>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</si>
  <si>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</si>
  <si>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</si>
  <si>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</si>
  <si>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</si>
  <si>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</si>
  <si>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</si>
  <si>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</si>
  <si>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</si>
  <si>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</si>
  <si>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</si>
  <si>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</si>
  <si>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</si>
  <si>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</si>
  <si>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</si>
  <si>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</si>
  <si>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</si>
  <si>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</si>
  <si>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</si>
  <si>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</si>
  <si>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</si>
  <si>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</si>
  <si>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</si>
  <si>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</si>
  <si>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</si>
  <si>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</si>
  <si>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</si>
  <si>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</si>
  <si>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</si>
  <si>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</si>
  <si>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</si>
  <si>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</si>
  <si>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</si>
  <si>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</si>
  <si>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</si>
  <si>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</si>
  <si>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</si>
  <si>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</si>
  <si>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</si>
  <si>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</si>
  <si>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</si>
  <si>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</si>
  <si>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</si>
  <si>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</si>
  <si>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</si>
  <si>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</si>
  <si>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</si>
  <si>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</si>
  <si>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</si>
  <si>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</si>
  <si>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</si>
  <si>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</si>
  <si>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</si>
  <si>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</si>
  <si>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</si>
  <si>
    <t>Retomar desenvolvimento do catálogo da Divisão de Segurança da Informação; Iniciar homologação do catálogo da Divisão de Auditoria Forense Digital e finalizar o desenvolvimento do catálogo da Divisão de Monitoramento e Resposta a Incidentes Cibernéticos;</t>
  </si>
  <si>
    <t>Projeto pode ser interrompido por não assinar o contrato;</t>
  </si>
  <si>
    <t xml:space="preserve">Contrato prestes a vencer em 21/11/2026;                                                                                                      </t>
  </si>
  <si>
    <t>Portaria DETRAN-SP nº 49, de 22 de Janeiro de 2025</t>
  </si>
  <si>
    <t>Acompanhamento da implantação do MVP2, com avanço de 50% com previsão de término para 03/11/2026.</t>
  </si>
  <si>
    <t>Monitoramento da implantação MVP-1 extendida até 30/10/26, sem impacto no prazo final, com 90% de andamento.
Monitoramento da implantação MVP-2, com 50% de andamento e término em 03/11/2026.</t>
  </si>
  <si>
    <t>Implantar-Laudos de Vistoria de Segurança Veicular (MVP-3).</t>
  </si>
  <si>
    <t>Gestão de procuração 2.0: Ajustando história de usuário.
Novo app: Área realizaou homologação e solicitou 25 ajustes, com entrega até 29/10/26;
Live 2.0: Feito correções do Portal e integrado SISPL com mainframe.
Emplacar veículo 0Km: Detalhado cronograma de execução</t>
  </si>
  <si>
    <t>Gestão de procuração 2.0: Realizar ajustes nas história do usuário e desenvolver protótipo;
Novo app: Realizar ajustes no app, até 29/10/26.
Autorização de Transporte Escolar:Detalhar cronograma de desenvolvimento.
Live 2.0: Homologar o desenvolvimento do portal, Executar QA-SISPL Sem socket e Construir o Socket-MF no SISPL.
Emplacar veículo 0Km: Desenvolver estrutura técnica e modelo de dados da aplicação.</t>
  </si>
  <si>
    <t>Não houve report pelo GP do projeto:
Primeira Habilitação;
Renovação da CNH.
Autorização de Transporte Escolar: Chaintec não forneceu cronograma de desenvolvimento.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</si>
</sst>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31">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xf numFmtId="0" fontId="0" fillId="0" borderId="0" xfId="0" applyAlignment="1">
      <alignment wrapText="1"/>
    </xf>
    <xf numFmtId="9" fontId="0" fillId="0" borderId="1" xfId="0" applyNumberFormat="1" applyBorder="1" applyAlignment="1">
      <alignment horizontal="center" vertical="center" wrapText="1"/>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85" zoomScaleNormal="85" workbookViewId="0">
      <pane ySplit="1" topLeftCell="A4" activePane="bottomLeft" state="frozen"/>
      <selection pane="bottomLeft" activeCell="U6" sqref="U6"/>
    </sheetView>
  </sheetViews>
  <sheetFormatPr defaultRowHeight="14.5" x14ac:dyDescent="0.35"/>
  <cols>
    <col min="1" max="1" width="9.7265625" customWidth="1"/>
    <col min="2" max="2" width="25" style="29" customWidth="1"/>
    <col min="3" max="3" width="32.453125" customWidth="1"/>
    <col min="4" max="4" width="22" customWidth="1"/>
    <col min="5" max="5" width="10.81640625" customWidth="1"/>
    <col min="6" max="6" width="18" customWidth="1"/>
    <col min="7" max="7" width="15" customWidth="1"/>
    <col min="8" max="8" width="40.54296875" customWidth="1"/>
    <col min="9" max="9" width="25.54296875" customWidth="1"/>
    <col min="10" max="10" width="40.54296875" customWidth="1"/>
    <col min="11" max="12" width="14" customWidth="1"/>
    <col min="13" max="13" width="15" customWidth="1"/>
    <col min="14" max="14" width="16.54296875" customWidth="1"/>
    <col min="15" max="16" width="17" customWidth="1"/>
    <col min="17" max="22" width="40.54296875" customWidth="1"/>
    <col min="23" max="23" width="50.54296875" customWidth="1"/>
    <col min="24" max="24" width="120.54296875" customWidth="1"/>
  </cols>
  <sheetData>
    <row r="1" spans="1:24" ht="28" customHeight="1" x14ac:dyDescent="0.35">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x14ac:dyDescent="0.35">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46.5" hidden="1" x14ac:dyDescent="0.35">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17.5" x14ac:dyDescent="0.35">
      <c r="A4" s="2" t="s">
        <v>37</v>
      </c>
      <c r="B4" s="2" t="s">
        <v>38</v>
      </c>
      <c r="C4" s="15" t="s">
        <v>39</v>
      </c>
      <c r="D4" s="7" t="s">
        <v>40</v>
      </c>
      <c r="E4" s="9" t="s">
        <v>34</v>
      </c>
      <c r="F4" s="9" t="s">
        <v>41</v>
      </c>
      <c r="G4" s="9" t="s">
        <v>42</v>
      </c>
      <c r="H4" s="14" t="s">
        <v>43</v>
      </c>
      <c r="I4" s="9" t="s">
        <v>129</v>
      </c>
      <c r="J4" s="14" t="s">
        <v>277</v>
      </c>
      <c r="K4" s="30">
        <v>0.75</v>
      </c>
      <c r="L4" s="27">
        <f ca="1">(TODAY()-M4)/(N4-M4)</f>
        <v>0.93987730061349695</v>
      </c>
      <c r="M4" s="10">
        <v>45555</v>
      </c>
      <c r="N4" s="10">
        <v>46370</v>
      </c>
      <c r="O4" s="10">
        <v>46475</v>
      </c>
      <c r="P4" s="10">
        <v>46321</v>
      </c>
      <c r="Q4" s="4"/>
      <c r="R4" s="3" t="s">
        <v>278</v>
      </c>
      <c r="S4" s="3"/>
      <c r="T4" s="3"/>
      <c r="U4" s="3" t="s">
        <v>279</v>
      </c>
      <c r="V4" s="3"/>
      <c r="W4" s="3" t="s">
        <v>45</v>
      </c>
      <c r="X4" s="3" t="s">
        <v>46</v>
      </c>
    </row>
    <row r="5" spans="1:24" ht="130.5" hidden="1" x14ac:dyDescent="0.35">
      <c r="A5" s="16" t="s">
        <v>47</v>
      </c>
      <c r="B5" s="17" t="s">
        <v>48</v>
      </c>
      <c r="C5" s="18" t="s">
        <v>49</v>
      </c>
      <c r="D5" s="19"/>
      <c r="E5" s="19" t="s">
        <v>50</v>
      </c>
      <c r="F5" s="19" t="s">
        <v>28</v>
      </c>
      <c r="G5" s="19" t="s">
        <v>28</v>
      </c>
      <c r="H5" s="17"/>
      <c r="I5" s="20"/>
      <c r="J5" s="21"/>
      <c r="K5" s="20">
        <v>100</v>
      </c>
      <c r="L5" s="20"/>
      <c r="M5" s="19"/>
      <c r="N5" s="19"/>
      <c r="O5" s="19"/>
      <c r="P5" s="19"/>
      <c r="Q5" s="22"/>
      <c r="R5" s="22"/>
      <c r="S5" s="22"/>
      <c r="T5" s="22"/>
      <c r="U5" s="22"/>
      <c r="V5" s="22"/>
      <c r="W5" s="23" t="s">
        <v>51</v>
      </c>
      <c r="X5" s="23" t="s">
        <v>52</v>
      </c>
    </row>
    <row r="6" spans="1:24" ht="246.5" x14ac:dyDescent="0.35">
      <c r="A6" s="2" t="s">
        <v>53</v>
      </c>
      <c r="B6" s="2" t="s">
        <v>54</v>
      </c>
      <c r="C6" s="5"/>
      <c r="D6" s="7" t="s">
        <v>33</v>
      </c>
      <c r="E6" s="7" t="s">
        <v>55</v>
      </c>
      <c r="F6" s="7" t="s">
        <v>41</v>
      </c>
      <c r="G6" s="7" t="s">
        <v>42</v>
      </c>
      <c r="H6" s="14" t="s">
        <v>56</v>
      </c>
      <c r="I6" s="9" t="s">
        <v>57</v>
      </c>
      <c r="J6" s="14" t="s">
        <v>58</v>
      </c>
      <c r="K6" s="28">
        <v>0.15</v>
      </c>
      <c r="L6" s="28">
        <v>0.36</v>
      </c>
      <c r="M6" s="8">
        <v>46210</v>
      </c>
      <c r="N6" s="8">
        <v>46461</v>
      </c>
      <c r="O6" s="8">
        <v>46461</v>
      </c>
      <c r="P6" s="8">
        <v>45946</v>
      </c>
      <c r="Q6" s="4" t="s">
        <v>59</v>
      </c>
      <c r="R6" s="3" t="s">
        <v>60</v>
      </c>
      <c r="S6" s="3"/>
      <c r="T6" s="6"/>
      <c r="U6" s="3"/>
      <c r="V6" s="3" t="s">
        <v>61</v>
      </c>
      <c r="W6" s="3" t="s">
        <v>62</v>
      </c>
      <c r="X6" s="3" t="s">
        <v>63</v>
      </c>
    </row>
    <row r="7" spans="1:24" ht="261" hidden="1" x14ac:dyDescent="0.35">
      <c r="A7" s="16" t="s">
        <v>64</v>
      </c>
      <c r="B7" s="17" t="s">
        <v>65</v>
      </c>
      <c r="C7" s="18" t="s">
        <v>66</v>
      </c>
      <c r="D7" s="19" t="s">
        <v>67</v>
      </c>
      <c r="E7" s="19" t="s">
        <v>34</v>
      </c>
      <c r="F7" s="19" t="s">
        <v>28</v>
      </c>
      <c r="G7" s="19" t="s">
        <v>28</v>
      </c>
      <c r="H7" s="17"/>
      <c r="I7" s="20"/>
      <c r="J7" s="26"/>
      <c r="K7" s="20">
        <v>100</v>
      </c>
      <c r="L7" s="20"/>
      <c r="M7" s="19"/>
      <c r="N7" s="19"/>
      <c r="O7" s="19"/>
      <c r="P7" s="19"/>
      <c r="Q7" s="22"/>
      <c r="R7" s="22"/>
      <c r="S7" s="22"/>
      <c r="T7" s="22"/>
      <c r="U7" s="22"/>
      <c r="V7" s="22"/>
      <c r="W7" s="23" t="s">
        <v>68</v>
      </c>
      <c r="X7" s="23" t="s">
        <v>69</v>
      </c>
    </row>
    <row r="8" spans="1:24" ht="409.5" hidden="1" x14ac:dyDescent="0.35">
      <c r="A8" s="16" t="s">
        <v>70</v>
      </c>
      <c r="B8" s="17" t="s">
        <v>71</v>
      </c>
      <c r="C8" s="18" t="s">
        <v>39</v>
      </c>
      <c r="D8" s="19"/>
      <c r="E8" s="19" t="s">
        <v>72</v>
      </c>
      <c r="F8" s="19" t="s">
        <v>28</v>
      </c>
      <c r="G8" s="19" t="s">
        <v>28</v>
      </c>
      <c r="H8" s="17"/>
      <c r="I8" s="20"/>
      <c r="J8" s="21"/>
      <c r="K8" s="20">
        <v>100</v>
      </c>
      <c r="L8" s="20"/>
      <c r="M8" s="19"/>
      <c r="N8" s="19"/>
      <c r="O8" s="19"/>
      <c r="P8" s="19"/>
      <c r="Q8" s="22"/>
      <c r="R8" s="22"/>
      <c r="S8" s="22"/>
      <c r="T8" s="22"/>
      <c r="U8" s="22"/>
      <c r="V8" s="22"/>
      <c r="W8" s="23" t="s">
        <v>73</v>
      </c>
      <c r="X8" s="23" t="s">
        <v>74</v>
      </c>
    </row>
    <row r="9" spans="1:24" ht="72.5" hidden="1" x14ac:dyDescent="0.35">
      <c r="A9" s="16" t="s">
        <v>75</v>
      </c>
      <c r="B9" s="17" t="s">
        <v>76</v>
      </c>
      <c r="C9" s="18" t="s">
        <v>77</v>
      </c>
      <c r="D9" s="19"/>
      <c r="E9" s="19" t="s">
        <v>50</v>
      </c>
      <c r="F9" s="19" t="s">
        <v>28</v>
      </c>
      <c r="G9" s="19" t="s">
        <v>28</v>
      </c>
      <c r="H9" s="17"/>
      <c r="I9" s="20"/>
      <c r="J9" s="21"/>
      <c r="K9" s="20">
        <v>100</v>
      </c>
      <c r="L9" s="20"/>
      <c r="M9" s="19"/>
      <c r="N9" s="19"/>
      <c r="O9" s="19"/>
      <c r="P9" s="19"/>
      <c r="Q9" s="22"/>
      <c r="R9" s="22"/>
      <c r="S9" s="22"/>
      <c r="T9" s="22"/>
      <c r="U9" s="22"/>
      <c r="V9" s="22"/>
      <c r="W9" s="23" t="s">
        <v>78</v>
      </c>
      <c r="X9" s="23" t="s">
        <v>79</v>
      </c>
    </row>
    <row r="10" spans="1:24" ht="116" x14ac:dyDescent="0.35">
      <c r="A10" s="2" t="s">
        <v>80</v>
      </c>
      <c r="B10" s="2" t="s">
        <v>81</v>
      </c>
      <c r="C10" s="15" t="s">
        <v>82</v>
      </c>
      <c r="D10" s="7" t="s">
        <v>83</v>
      </c>
      <c r="E10" s="9" t="s">
        <v>84</v>
      </c>
      <c r="F10" s="9" t="s">
        <v>41</v>
      </c>
      <c r="G10" s="9" t="s">
        <v>85</v>
      </c>
      <c r="H10" s="14" t="s">
        <v>86</v>
      </c>
      <c r="I10" s="9" t="s">
        <v>44</v>
      </c>
      <c r="J10" s="14" t="s">
        <v>87</v>
      </c>
      <c r="K10" s="30">
        <v>0.79</v>
      </c>
      <c r="L10" s="30">
        <v>1</v>
      </c>
      <c r="M10" s="10">
        <v>45407</v>
      </c>
      <c r="N10" s="10">
        <v>45838</v>
      </c>
      <c r="O10" s="10"/>
      <c r="P10" s="10">
        <v>46304</v>
      </c>
      <c r="Q10" s="4" t="s">
        <v>88</v>
      </c>
      <c r="R10" s="3"/>
      <c r="S10" s="3" t="s">
        <v>89</v>
      </c>
      <c r="T10" s="3"/>
      <c r="U10" s="3"/>
      <c r="V10" s="3" t="s">
        <v>90</v>
      </c>
      <c r="W10" s="3" t="s">
        <v>91</v>
      </c>
      <c r="X10" s="3" t="s">
        <v>92</v>
      </c>
    </row>
    <row r="11" spans="1:24" ht="29" hidden="1" x14ac:dyDescent="0.35">
      <c r="A11" s="16" t="s">
        <v>93</v>
      </c>
      <c r="B11" s="17" t="s">
        <v>94</v>
      </c>
      <c r="C11" s="18" t="s">
        <v>95</v>
      </c>
      <c r="D11" s="19"/>
      <c r="E11" s="19" t="s">
        <v>96</v>
      </c>
      <c r="F11" s="19" t="s">
        <v>28</v>
      </c>
      <c r="G11" s="19" t="s">
        <v>28</v>
      </c>
      <c r="H11" s="17"/>
      <c r="I11" s="20"/>
      <c r="J11" s="21"/>
      <c r="K11" s="20">
        <v>100</v>
      </c>
      <c r="L11" s="20"/>
      <c r="M11" s="19"/>
      <c r="N11" s="19"/>
      <c r="O11" s="19"/>
      <c r="P11" s="19"/>
      <c r="Q11" s="22"/>
      <c r="R11" s="22"/>
      <c r="S11" s="22"/>
      <c r="T11" s="22"/>
      <c r="U11" s="22"/>
      <c r="V11" s="22"/>
      <c r="W11" s="23" t="s">
        <v>97</v>
      </c>
      <c r="X11" s="23" t="s">
        <v>98</v>
      </c>
    </row>
    <row r="12" spans="1:24" ht="174" x14ac:dyDescent="0.35">
      <c r="A12" s="2" t="s">
        <v>99</v>
      </c>
      <c r="B12" s="2" t="s">
        <v>100</v>
      </c>
      <c r="C12" s="15" t="s">
        <v>273</v>
      </c>
      <c r="D12" s="7" t="s">
        <v>101</v>
      </c>
      <c r="E12" s="7" t="s">
        <v>102</v>
      </c>
      <c r="F12" s="7" t="s">
        <v>41</v>
      </c>
      <c r="G12" s="7" t="s">
        <v>85</v>
      </c>
      <c r="H12" s="14" t="s">
        <v>103</v>
      </c>
      <c r="I12" s="9" t="s">
        <v>44</v>
      </c>
      <c r="J12" s="14"/>
      <c r="K12" s="28">
        <v>0.53</v>
      </c>
      <c r="L12" s="30">
        <v>1</v>
      </c>
      <c r="M12" s="8">
        <v>45659</v>
      </c>
      <c r="N12" s="8">
        <v>46045</v>
      </c>
      <c r="O12" s="8"/>
      <c r="P12" s="8">
        <v>46304</v>
      </c>
      <c r="Q12" s="4" t="s">
        <v>104</v>
      </c>
      <c r="R12" s="3" t="s">
        <v>105</v>
      </c>
      <c r="S12" s="3" t="s">
        <v>106</v>
      </c>
      <c r="T12" s="6"/>
      <c r="U12" s="3" t="s">
        <v>107</v>
      </c>
      <c r="V12" s="3" t="s">
        <v>108</v>
      </c>
      <c r="W12" s="3" t="s">
        <v>109</v>
      </c>
      <c r="X12" s="3" t="s">
        <v>110</v>
      </c>
    </row>
    <row r="13" spans="1:24" ht="409.5" hidden="1" x14ac:dyDescent="0.35">
      <c r="A13" s="16" t="s">
        <v>111</v>
      </c>
      <c r="B13" s="17" t="s">
        <v>112</v>
      </c>
      <c r="C13" s="22"/>
      <c r="D13" s="19"/>
      <c r="E13" s="19" t="s">
        <v>34</v>
      </c>
      <c r="F13" s="19" t="s">
        <v>28</v>
      </c>
      <c r="G13" s="19" t="s">
        <v>28</v>
      </c>
      <c r="H13" s="17"/>
      <c r="I13" s="20"/>
      <c r="J13" s="21"/>
      <c r="K13" s="20">
        <v>100</v>
      </c>
      <c r="L13" s="20"/>
      <c r="M13" s="19"/>
      <c r="N13" s="19"/>
      <c r="O13" s="19"/>
      <c r="P13" s="19"/>
      <c r="Q13" s="22"/>
      <c r="R13" s="22"/>
      <c r="S13" s="22"/>
      <c r="T13" s="22"/>
      <c r="U13" s="22"/>
      <c r="V13" s="22"/>
      <c r="W13" s="23" t="s">
        <v>113</v>
      </c>
      <c r="X13" s="23" t="s">
        <v>114</v>
      </c>
    </row>
    <row r="14" spans="1:24" ht="130.5" hidden="1" x14ac:dyDescent="0.35">
      <c r="A14" s="16" t="s">
        <v>115</v>
      </c>
      <c r="B14" s="17" t="s">
        <v>116</v>
      </c>
      <c r="C14" s="18" t="s">
        <v>117</v>
      </c>
      <c r="D14" s="19" t="s">
        <v>118</v>
      </c>
      <c r="E14" s="19" t="s">
        <v>102</v>
      </c>
      <c r="F14" s="19" t="s">
        <v>28</v>
      </c>
      <c r="G14" s="19" t="s">
        <v>28</v>
      </c>
      <c r="H14" s="17"/>
      <c r="I14" s="20"/>
      <c r="J14" s="21"/>
      <c r="K14" s="20">
        <v>100</v>
      </c>
      <c r="L14" s="20"/>
      <c r="M14" s="19"/>
      <c r="N14" s="19"/>
      <c r="O14" s="19"/>
      <c r="P14" s="19"/>
      <c r="Q14" s="22"/>
      <c r="R14" s="22"/>
      <c r="S14" s="22"/>
      <c r="T14" s="22"/>
      <c r="U14" s="22"/>
      <c r="V14" s="22"/>
      <c r="W14" s="23" t="s">
        <v>119</v>
      </c>
      <c r="X14" s="23" t="s">
        <v>120</v>
      </c>
    </row>
    <row r="15" spans="1:24" ht="130.5" hidden="1" x14ac:dyDescent="0.35">
      <c r="A15" s="16" t="s">
        <v>121</v>
      </c>
      <c r="B15" s="17" t="s">
        <v>122</v>
      </c>
      <c r="C15" s="22"/>
      <c r="D15" s="19"/>
      <c r="E15" s="19" t="s">
        <v>55</v>
      </c>
      <c r="F15" s="19" t="s">
        <v>28</v>
      </c>
      <c r="G15" s="19" t="s">
        <v>28</v>
      </c>
      <c r="H15" s="17"/>
      <c r="I15" s="20"/>
      <c r="J15" s="21"/>
      <c r="K15" s="20">
        <v>100</v>
      </c>
      <c r="L15" s="20"/>
      <c r="M15" s="19"/>
      <c r="N15" s="19"/>
      <c r="O15" s="19"/>
      <c r="P15" s="19"/>
      <c r="Q15" s="22"/>
      <c r="R15" s="22"/>
      <c r="S15" s="22"/>
      <c r="T15" s="22"/>
      <c r="U15" s="22"/>
      <c r="V15" s="22"/>
      <c r="W15" s="23" t="s">
        <v>123</v>
      </c>
      <c r="X15" s="23" t="s">
        <v>124</v>
      </c>
    </row>
    <row r="16" spans="1:24" ht="130.5" x14ac:dyDescent="0.35">
      <c r="A16" s="2" t="s">
        <v>125</v>
      </c>
      <c r="B16" s="2" t="s">
        <v>126</v>
      </c>
      <c r="C16" s="5"/>
      <c r="D16" s="7" t="s">
        <v>127</v>
      </c>
      <c r="E16" s="7" t="s">
        <v>34</v>
      </c>
      <c r="F16" s="7" t="s">
        <v>41</v>
      </c>
      <c r="G16" s="7" t="s">
        <v>85</v>
      </c>
      <c r="H16" s="14" t="s">
        <v>128</v>
      </c>
      <c r="I16" s="9" t="s">
        <v>129</v>
      </c>
      <c r="J16" s="14" t="s">
        <v>130</v>
      </c>
      <c r="K16" s="28">
        <v>0.81</v>
      </c>
      <c r="L16" s="28">
        <v>0.82</v>
      </c>
      <c r="M16" s="8">
        <v>45938</v>
      </c>
      <c r="N16" s="8">
        <v>46383</v>
      </c>
      <c r="O16" s="8">
        <v>46365</v>
      </c>
      <c r="P16" s="8">
        <v>46321</v>
      </c>
      <c r="Q16" s="4" t="s">
        <v>131</v>
      </c>
      <c r="R16" s="4" t="s">
        <v>270</v>
      </c>
      <c r="S16" s="3" t="s">
        <v>272</v>
      </c>
      <c r="T16" s="6"/>
      <c r="U16" s="3" t="s">
        <v>132</v>
      </c>
      <c r="V16" s="3" t="s">
        <v>271</v>
      </c>
      <c r="W16" s="3" t="s">
        <v>133</v>
      </c>
      <c r="X16" s="3" t="s">
        <v>134</v>
      </c>
    </row>
    <row r="17" spans="1:24" ht="43.5" x14ac:dyDescent="0.35">
      <c r="A17" s="2" t="s">
        <v>135</v>
      </c>
      <c r="B17" s="2" t="s">
        <v>136</v>
      </c>
      <c r="C17" s="5"/>
      <c r="D17" s="7" t="s">
        <v>137</v>
      </c>
      <c r="E17" s="7" t="s">
        <v>138</v>
      </c>
      <c r="F17" s="7" t="s">
        <v>41</v>
      </c>
      <c r="G17" s="7" t="s">
        <v>42</v>
      </c>
      <c r="H17" s="14" t="s">
        <v>139</v>
      </c>
      <c r="I17" s="9" t="s">
        <v>44</v>
      </c>
      <c r="J17" s="14" t="s">
        <v>140</v>
      </c>
      <c r="K17" s="28">
        <v>0.9</v>
      </c>
      <c r="L17" s="28">
        <v>0.9</v>
      </c>
      <c r="M17" s="8">
        <v>45901</v>
      </c>
      <c r="N17" s="8">
        <v>46351</v>
      </c>
      <c r="O17" s="8">
        <v>46373</v>
      </c>
      <c r="P17" s="8">
        <v>46310</v>
      </c>
      <c r="Q17" s="4" t="s">
        <v>141</v>
      </c>
      <c r="R17" s="3" t="s">
        <v>142</v>
      </c>
      <c r="S17" s="3"/>
      <c r="T17" s="6"/>
      <c r="U17" s="3" t="s">
        <v>143</v>
      </c>
      <c r="V17" s="3"/>
      <c r="W17" s="3" t="s">
        <v>144</v>
      </c>
      <c r="X17" s="3" t="s">
        <v>145</v>
      </c>
    </row>
    <row r="18" spans="1:24" ht="409.5" hidden="1" x14ac:dyDescent="0.35">
      <c r="A18" s="16" t="s">
        <v>146</v>
      </c>
      <c r="B18" s="17" t="s">
        <v>147</v>
      </c>
      <c r="C18" s="22"/>
      <c r="D18" s="19" t="s">
        <v>148</v>
      </c>
      <c r="E18" s="19" t="s">
        <v>34</v>
      </c>
      <c r="F18" s="19" t="s">
        <v>28</v>
      </c>
      <c r="G18" s="19" t="s">
        <v>28</v>
      </c>
      <c r="H18" s="17"/>
      <c r="I18" s="20"/>
      <c r="J18" s="21"/>
      <c r="K18" s="20">
        <v>100</v>
      </c>
      <c r="L18" s="20"/>
      <c r="M18" s="19"/>
      <c r="N18" s="19"/>
      <c r="O18" s="19"/>
      <c r="P18" s="19"/>
      <c r="Q18" s="22"/>
      <c r="R18" s="22"/>
      <c r="S18" s="22"/>
      <c r="T18" s="22"/>
      <c r="U18" s="22"/>
      <c r="V18" s="22"/>
      <c r="W18" s="23" t="s">
        <v>149</v>
      </c>
      <c r="X18" s="23" t="s">
        <v>150</v>
      </c>
    </row>
    <row r="19" spans="1:24" ht="72.5" hidden="1" x14ac:dyDescent="0.35">
      <c r="A19" s="16" t="s">
        <v>151</v>
      </c>
      <c r="B19" s="17" t="s">
        <v>152</v>
      </c>
      <c r="C19" s="18" t="s">
        <v>39</v>
      </c>
      <c r="D19" s="19"/>
      <c r="E19" s="19" t="s">
        <v>153</v>
      </c>
      <c r="F19" s="19" t="s">
        <v>28</v>
      </c>
      <c r="G19" s="19" t="s">
        <v>28</v>
      </c>
      <c r="H19" s="17"/>
      <c r="I19" s="20"/>
      <c r="J19" s="21"/>
      <c r="K19" s="20">
        <v>100</v>
      </c>
      <c r="L19" s="20"/>
      <c r="M19" s="19"/>
      <c r="N19" s="19"/>
      <c r="O19" s="19"/>
      <c r="P19" s="19"/>
      <c r="Q19" s="22"/>
      <c r="R19" s="22"/>
      <c r="S19" s="22"/>
      <c r="T19" s="22"/>
      <c r="U19" s="22"/>
      <c r="V19" s="22"/>
      <c r="W19" s="23" t="s">
        <v>154</v>
      </c>
      <c r="X19" s="23" t="s">
        <v>155</v>
      </c>
    </row>
    <row r="20" spans="1:24" ht="87" hidden="1" x14ac:dyDescent="0.35">
      <c r="A20" s="16" t="s">
        <v>156</v>
      </c>
      <c r="B20" s="17" t="s">
        <v>157</v>
      </c>
      <c r="C20" s="18" t="s">
        <v>158</v>
      </c>
      <c r="D20" s="19"/>
      <c r="E20" s="19" t="s">
        <v>50</v>
      </c>
      <c r="F20" s="19" t="s">
        <v>28</v>
      </c>
      <c r="G20" s="19" t="s">
        <v>28</v>
      </c>
      <c r="H20" s="17"/>
      <c r="I20" s="20"/>
      <c r="J20" s="21"/>
      <c r="K20" s="20">
        <v>100</v>
      </c>
      <c r="L20" s="20"/>
      <c r="M20" s="19"/>
      <c r="N20" s="19"/>
      <c r="O20" s="19"/>
      <c r="P20" s="19"/>
      <c r="Q20" s="22"/>
      <c r="R20" s="22"/>
      <c r="S20" s="22"/>
      <c r="T20" s="22"/>
      <c r="U20" s="22"/>
      <c r="V20" s="22"/>
      <c r="W20" s="23" t="s">
        <v>159</v>
      </c>
      <c r="X20" s="23" t="s">
        <v>160</v>
      </c>
    </row>
    <row r="21" spans="1:24" ht="101.5" hidden="1" x14ac:dyDescent="0.35">
      <c r="A21" s="16" t="s">
        <v>161</v>
      </c>
      <c r="B21" s="17" t="s">
        <v>162</v>
      </c>
      <c r="C21" s="18" t="s">
        <v>39</v>
      </c>
      <c r="D21" s="19"/>
      <c r="E21" s="19" t="s">
        <v>96</v>
      </c>
      <c r="F21" s="19" t="s">
        <v>28</v>
      </c>
      <c r="G21" s="19" t="s">
        <v>28</v>
      </c>
      <c r="H21" s="17"/>
      <c r="I21" s="20"/>
      <c r="J21" s="21"/>
      <c r="K21" s="20">
        <v>100</v>
      </c>
      <c r="L21" s="20"/>
      <c r="M21" s="19"/>
      <c r="N21" s="19"/>
      <c r="O21" s="19"/>
      <c r="P21" s="19"/>
      <c r="Q21" s="22"/>
      <c r="R21" s="22"/>
      <c r="S21" s="22"/>
      <c r="T21" s="22"/>
      <c r="U21" s="22"/>
      <c r="V21" s="22"/>
      <c r="W21" s="23" t="s">
        <v>163</v>
      </c>
      <c r="X21" s="23" t="s">
        <v>164</v>
      </c>
    </row>
    <row r="22" spans="1:24" ht="174" x14ac:dyDescent="0.35">
      <c r="A22" s="2" t="s">
        <v>165</v>
      </c>
      <c r="B22" s="2" t="s">
        <v>166</v>
      </c>
      <c r="C22" s="25" t="s">
        <v>39</v>
      </c>
      <c r="D22" s="7" t="s">
        <v>127</v>
      </c>
      <c r="E22" s="7" t="s">
        <v>167</v>
      </c>
      <c r="F22" s="7" t="s">
        <v>41</v>
      </c>
      <c r="G22" s="7" t="s">
        <v>42</v>
      </c>
      <c r="H22" s="14" t="s">
        <v>168</v>
      </c>
      <c r="I22" s="9" t="s">
        <v>129</v>
      </c>
      <c r="J22" s="14" t="s">
        <v>274</v>
      </c>
      <c r="K22" s="28">
        <v>0.95</v>
      </c>
      <c r="L22" s="28">
        <v>1</v>
      </c>
      <c r="M22" s="8">
        <v>45988</v>
      </c>
      <c r="N22" s="8">
        <v>46204</v>
      </c>
      <c r="O22" s="8">
        <v>46379</v>
      </c>
      <c r="P22" s="8">
        <v>46321</v>
      </c>
      <c r="Q22" s="14" t="s">
        <v>275</v>
      </c>
      <c r="R22" s="3" t="s">
        <v>276</v>
      </c>
      <c r="S22" s="3"/>
      <c r="T22" s="6"/>
      <c r="U22" s="3"/>
      <c r="V22" s="3"/>
      <c r="W22" s="3" t="s">
        <v>169</v>
      </c>
      <c r="X22" s="3" t="s">
        <v>170</v>
      </c>
    </row>
    <row r="23" spans="1:24" ht="246.5" x14ac:dyDescent="0.35">
      <c r="A23" s="2" t="s">
        <v>171</v>
      </c>
      <c r="B23" s="2" t="s">
        <v>172</v>
      </c>
      <c r="C23" s="5"/>
      <c r="D23" s="7" t="s">
        <v>173</v>
      </c>
      <c r="E23" s="7" t="s">
        <v>96</v>
      </c>
      <c r="F23" s="7" t="s">
        <v>41</v>
      </c>
      <c r="G23" s="7" t="s">
        <v>85</v>
      </c>
      <c r="H23" s="14" t="s">
        <v>174</v>
      </c>
      <c r="I23" s="9" t="s">
        <v>44</v>
      </c>
      <c r="J23" s="14" t="s">
        <v>175</v>
      </c>
      <c r="K23" s="28">
        <v>0.5</v>
      </c>
      <c r="L23" s="28">
        <v>1</v>
      </c>
      <c r="M23" s="8">
        <v>46111</v>
      </c>
      <c r="N23" s="8">
        <v>46187</v>
      </c>
      <c r="O23" s="7"/>
      <c r="P23" s="8">
        <v>46318</v>
      </c>
      <c r="Q23" s="4" t="s">
        <v>176</v>
      </c>
      <c r="R23" s="3" t="s">
        <v>177</v>
      </c>
      <c r="S23" s="3" t="s">
        <v>178</v>
      </c>
      <c r="T23" s="3" t="s">
        <v>179</v>
      </c>
      <c r="U23" s="3"/>
      <c r="V23" s="3" t="s">
        <v>180</v>
      </c>
      <c r="W23" s="3" t="s">
        <v>181</v>
      </c>
      <c r="X23" s="3" t="s">
        <v>182</v>
      </c>
    </row>
    <row r="24" spans="1:24" ht="72.5" hidden="1" x14ac:dyDescent="0.35">
      <c r="A24" s="16" t="s">
        <v>183</v>
      </c>
      <c r="B24" s="17" t="s">
        <v>184</v>
      </c>
      <c r="C24" s="18" t="s">
        <v>185</v>
      </c>
      <c r="D24" s="19"/>
      <c r="E24" s="19" t="s">
        <v>186</v>
      </c>
      <c r="F24" s="19" t="s">
        <v>28</v>
      </c>
      <c r="G24" s="19" t="s">
        <v>28</v>
      </c>
      <c r="H24" s="17"/>
      <c r="I24" s="20"/>
      <c r="J24" s="21"/>
      <c r="K24" s="20">
        <v>100</v>
      </c>
      <c r="L24" s="20"/>
      <c r="M24" s="19"/>
      <c r="N24" s="19"/>
      <c r="O24" s="19"/>
      <c r="P24" s="19"/>
      <c r="Q24" s="22"/>
      <c r="R24" s="22"/>
      <c r="S24" s="22"/>
      <c r="T24" s="22"/>
      <c r="U24" s="22"/>
      <c r="V24" s="22"/>
      <c r="W24" s="23" t="s">
        <v>187</v>
      </c>
      <c r="X24" s="23" t="s">
        <v>188</v>
      </c>
    </row>
    <row r="25" spans="1:24" ht="58" hidden="1" x14ac:dyDescent="0.35">
      <c r="A25" s="16" t="s">
        <v>189</v>
      </c>
      <c r="B25" s="17" t="s">
        <v>190</v>
      </c>
      <c r="C25" s="18" t="s">
        <v>191</v>
      </c>
      <c r="D25" s="19"/>
      <c r="E25" s="19" t="s">
        <v>50</v>
      </c>
      <c r="F25" s="19" t="s">
        <v>28</v>
      </c>
      <c r="G25" s="19" t="s">
        <v>28</v>
      </c>
      <c r="H25" s="17"/>
      <c r="I25" s="20"/>
      <c r="J25" s="21"/>
      <c r="K25" s="20">
        <v>100</v>
      </c>
      <c r="L25" s="20"/>
      <c r="M25" s="19"/>
      <c r="N25" s="19"/>
      <c r="O25" s="19"/>
      <c r="P25" s="19"/>
      <c r="Q25" s="22"/>
      <c r="R25" s="22"/>
      <c r="S25" s="22"/>
      <c r="T25" s="22"/>
      <c r="U25" s="22"/>
      <c r="V25" s="22"/>
      <c r="W25" s="23" t="s">
        <v>192</v>
      </c>
      <c r="X25" s="23" t="s">
        <v>193</v>
      </c>
    </row>
    <row r="26" spans="1:24" ht="203" x14ac:dyDescent="0.35">
      <c r="A26" s="2" t="s">
        <v>194</v>
      </c>
      <c r="B26" s="2" t="s">
        <v>195</v>
      </c>
      <c r="C26" s="5"/>
      <c r="D26" s="7" t="s">
        <v>196</v>
      </c>
      <c r="E26" s="7" t="s">
        <v>55</v>
      </c>
      <c r="F26" s="7" t="s">
        <v>41</v>
      </c>
      <c r="G26" s="7" t="s">
        <v>85</v>
      </c>
      <c r="H26" s="14" t="s">
        <v>197</v>
      </c>
      <c r="I26" s="9" t="s">
        <v>44</v>
      </c>
      <c r="J26" s="14" t="s">
        <v>198</v>
      </c>
      <c r="K26" s="28">
        <v>0.99</v>
      </c>
      <c r="L26" s="28">
        <v>1</v>
      </c>
      <c r="M26" s="8">
        <v>46042</v>
      </c>
      <c r="N26" s="8">
        <v>46295</v>
      </c>
      <c r="O26" s="8">
        <v>46356</v>
      </c>
      <c r="P26" s="8">
        <v>46317</v>
      </c>
      <c r="Q26" s="14" t="s">
        <v>198</v>
      </c>
      <c r="R26" s="14" t="s">
        <v>199</v>
      </c>
      <c r="S26" s="3" t="s">
        <v>200</v>
      </c>
      <c r="T26" s="6"/>
      <c r="U26" s="3"/>
      <c r="V26" s="3" t="s">
        <v>201</v>
      </c>
      <c r="W26" s="3" t="s">
        <v>202</v>
      </c>
      <c r="X26" s="3" t="s">
        <v>203</v>
      </c>
    </row>
    <row r="27" spans="1:24" ht="145" x14ac:dyDescent="0.35">
      <c r="A27" s="2" t="s">
        <v>204</v>
      </c>
      <c r="B27" s="2" t="s">
        <v>205</v>
      </c>
      <c r="C27" s="15" t="s">
        <v>206</v>
      </c>
      <c r="D27" s="7" t="s">
        <v>207</v>
      </c>
      <c r="E27" s="9" t="s">
        <v>84</v>
      </c>
      <c r="F27" s="9" t="s">
        <v>41</v>
      </c>
      <c r="G27" s="9" t="s">
        <v>85</v>
      </c>
      <c r="H27" s="14" t="s">
        <v>208</v>
      </c>
      <c r="I27" s="9" t="s">
        <v>44</v>
      </c>
      <c r="J27" s="14" t="s">
        <v>87</v>
      </c>
      <c r="K27" s="30">
        <v>0.92</v>
      </c>
      <c r="L27" s="30">
        <v>1</v>
      </c>
      <c r="M27" s="10">
        <v>45511</v>
      </c>
      <c r="N27" s="10">
        <v>45699</v>
      </c>
      <c r="O27" s="10">
        <v>46421</v>
      </c>
      <c r="P27" s="10">
        <v>46303</v>
      </c>
      <c r="Q27" s="4" t="s">
        <v>209</v>
      </c>
      <c r="R27" s="3" t="s">
        <v>210</v>
      </c>
      <c r="S27" s="3" t="s">
        <v>211</v>
      </c>
      <c r="T27" s="3"/>
      <c r="U27" s="3" t="s">
        <v>212</v>
      </c>
      <c r="V27" s="3"/>
      <c r="W27" s="3" t="s">
        <v>213</v>
      </c>
      <c r="X27" s="3" t="s">
        <v>214</v>
      </c>
    </row>
    <row r="28" spans="1:24" ht="87" hidden="1" x14ac:dyDescent="0.35">
      <c r="A28" s="16" t="s">
        <v>215</v>
      </c>
      <c r="B28" s="24" t="s">
        <v>216</v>
      </c>
      <c r="C28" s="18" t="s">
        <v>217</v>
      </c>
      <c r="D28" s="19"/>
      <c r="E28" s="19" t="s">
        <v>55</v>
      </c>
      <c r="F28" s="19" t="s">
        <v>28</v>
      </c>
      <c r="G28" s="19" t="s">
        <v>28</v>
      </c>
      <c r="H28" s="17"/>
      <c r="I28" s="20"/>
      <c r="J28" s="21"/>
      <c r="K28" s="20">
        <v>100</v>
      </c>
      <c r="L28" s="20"/>
      <c r="M28" s="19"/>
      <c r="N28" s="19"/>
      <c r="O28" s="19"/>
      <c r="P28" s="19"/>
      <c r="Q28" s="22"/>
      <c r="R28" s="22"/>
      <c r="S28" s="22"/>
      <c r="T28" s="22"/>
      <c r="U28" s="22"/>
      <c r="V28" s="22"/>
      <c r="W28" s="23" t="s">
        <v>218</v>
      </c>
      <c r="X28" s="23" t="s">
        <v>219</v>
      </c>
    </row>
    <row r="29" spans="1:24" ht="101.5" hidden="1" x14ac:dyDescent="0.35">
      <c r="A29" s="16" t="s">
        <v>220</v>
      </c>
      <c r="B29" s="17" t="s">
        <v>221</v>
      </c>
      <c r="C29" s="18" t="s">
        <v>222</v>
      </c>
      <c r="D29" s="19"/>
      <c r="E29" s="19" t="s">
        <v>223</v>
      </c>
      <c r="F29" s="19" t="s">
        <v>28</v>
      </c>
      <c r="G29" s="19" t="s">
        <v>28</v>
      </c>
      <c r="H29" s="17"/>
      <c r="I29" s="20"/>
      <c r="J29" s="21"/>
      <c r="K29" s="20">
        <v>100</v>
      </c>
      <c r="L29" s="20"/>
      <c r="M29" s="19"/>
      <c r="N29" s="19"/>
      <c r="O29" s="19"/>
      <c r="P29" s="19"/>
      <c r="Q29" s="22"/>
      <c r="R29" s="22"/>
      <c r="S29" s="22"/>
      <c r="T29" s="22"/>
      <c r="U29" s="22"/>
      <c r="V29" s="22"/>
      <c r="W29" s="23" t="s">
        <v>224</v>
      </c>
      <c r="X29" s="23" t="s">
        <v>225</v>
      </c>
    </row>
    <row r="30" spans="1:24" ht="58" hidden="1" x14ac:dyDescent="0.35">
      <c r="A30" s="16" t="s">
        <v>226</v>
      </c>
      <c r="B30" s="17" t="s">
        <v>227</v>
      </c>
      <c r="C30" s="18" t="s">
        <v>39</v>
      </c>
      <c r="D30" s="19"/>
      <c r="E30" s="19" t="s">
        <v>167</v>
      </c>
      <c r="F30" s="19" t="s">
        <v>28</v>
      </c>
      <c r="G30" s="19" t="s">
        <v>28</v>
      </c>
      <c r="H30" s="17"/>
      <c r="I30" s="20"/>
      <c r="J30" s="21"/>
      <c r="K30" s="20">
        <v>100</v>
      </c>
      <c r="L30" s="20"/>
      <c r="M30" s="19"/>
      <c r="N30" s="19"/>
      <c r="O30" s="19"/>
      <c r="P30" s="19"/>
      <c r="Q30" s="22"/>
      <c r="R30" s="22"/>
      <c r="S30" s="22"/>
      <c r="T30" s="22"/>
      <c r="U30" s="22"/>
      <c r="V30" s="22"/>
      <c r="W30" s="23" t="s">
        <v>228</v>
      </c>
      <c r="X30" s="23" t="s">
        <v>229</v>
      </c>
    </row>
    <row r="31" spans="1:24" ht="58" hidden="1" x14ac:dyDescent="0.35">
      <c r="A31" s="16" t="s">
        <v>230</v>
      </c>
      <c r="B31" s="17" t="s">
        <v>231</v>
      </c>
      <c r="C31" s="22"/>
      <c r="D31" s="19" t="s">
        <v>232</v>
      </c>
      <c r="E31" s="19" t="s">
        <v>138</v>
      </c>
      <c r="F31" s="19" t="s">
        <v>28</v>
      </c>
      <c r="G31" s="19" t="s">
        <v>28</v>
      </c>
      <c r="H31" s="17"/>
      <c r="I31" s="20"/>
      <c r="J31" s="21"/>
      <c r="K31" s="20">
        <v>100</v>
      </c>
      <c r="L31" s="20"/>
      <c r="M31" s="19"/>
      <c r="N31" s="19"/>
      <c r="O31" s="19"/>
      <c r="P31" s="19"/>
      <c r="Q31" s="22"/>
      <c r="R31" s="22"/>
      <c r="S31" s="22"/>
      <c r="T31" s="22"/>
      <c r="U31" s="22"/>
      <c r="V31" s="22"/>
      <c r="W31" s="23" t="s">
        <v>233</v>
      </c>
      <c r="X31" s="23" t="s">
        <v>234</v>
      </c>
    </row>
    <row r="32" spans="1:24" ht="87" hidden="1" x14ac:dyDescent="0.35">
      <c r="A32" s="16" t="s">
        <v>235</v>
      </c>
      <c r="B32" s="17" t="s">
        <v>236</v>
      </c>
      <c r="C32" s="22"/>
      <c r="D32" s="19" t="s">
        <v>33</v>
      </c>
      <c r="E32" s="19" t="s">
        <v>237</v>
      </c>
      <c r="F32" s="19" t="s">
        <v>28</v>
      </c>
      <c r="G32" s="19" t="s">
        <v>28</v>
      </c>
      <c r="H32" s="17"/>
      <c r="I32" s="20"/>
      <c r="J32" s="21"/>
      <c r="K32" s="20">
        <v>100</v>
      </c>
      <c r="L32" s="20"/>
      <c r="M32" s="19"/>
      <c r="N32" s="19"/>
      <c r="O32" s="19"/>
      <c r="P32" s="19"/>
      <c r="Q32" s="22"/>
      <c r="R32" s="22"/>
      <c r="S32" s="22"/>
      <c r="T32" s="22"/>
      <c r="U32" s="22"/>
      <c r="V32" s="22"/>
      <c r="W32" s="23" t="s">
        <v>238</v>
      </c>
      <c r="X32" s="23" t="s">
        <v>239</v>
      </c>
    </row>
    <row r="33" spans="1:24" ht="130.5" hidden="1" x14ac:dyDescent="0.35">
      <c r="A33" s="16" t="s">
        <v>240</v>
      </c>
      <c r="B33" s="17" t="s">
        <v>241</v>
      </c>
      <c r="C33" s="22"/>
      <c r="D33" s="19" t="s">
        <v>242</v>
      </c>
      <c r="E33" s="19" t="s">
        <v>84</v>
      </c>
      <c r="F33" s="19" t="s">
        <v>28</v>
      </c>
      <c r="G33" s="19" t="s">
        <v>28</v>
      </c>
      <c r="H33" s="17"/>
      <c r="I33" s="20"/>
      <c r="J33" s="21"/>
      <c r="K33" s="20">
        <v>100</v>
      </c>
      <c r="L33" s="20"/>
      <c r="M33" s="19"/>
      <c r="N33" s="19"/>
      <c r="O33" s="19"/>
      <c r="P33" s="19"/>
      <c r="Q33" s="22"/>
      <c r="R33" s="22"/>
      <c r="S33" s="22"/>
      <c r="T33" s="22"/>
      <c r="U33" s="22"/>
      <c r="V33" s="22"/>
      <c r="W33" s="23" t="s">
        <v>243</v>
      </c>
      <c r="X33" s="23" t="s">
        <v>244</v>
      </c>
    </row>
  </sheetData>
  <autoFilter ref="A1:X33" xr:uid="{00000000-0001-0000-0100-000000000000}">
    <filterColumn colId="5">
      <filters>
        <filter val="Em andamento"/>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Q26:R26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4.5" x14ac:dyDescent="0.35"/>
  <cols>
    <col min="1" max="7" width="10.54296875" customWidth="1"/>
  </cols>
  <sheetData>
    <row r="1" spans="1:7" ht="29" x14ac:dyDescent="0.35">
      <c r="A1" s="1" t="s">
        <v>5</v>
      </c>
      <c r="B1" s="1" t="s">
        <v>6</v>
      </c>
      <c r="C1" s="1" t="s">
        <v>245</v>
      </c>
      <c r="D1" s="1" t="s">
        <v>246</v>
      </c>
      <c r="E1" s="1" t="s">
        <v>247</v>
      </c>
      <c r="F1" s="1" t="s">
        <v>248</v>
      </c>
      <c r="G1" s="1" t="s">
        <v>249</v>
      </c>
    </row>
    <row r="2" spans="1:7" ht="29" x14ac:dyDescent="0.35">
      <c r="A2" s="1" t="s">
        <v>250</v>
      </c>
      <c r="B2" s="1" t="s">
        <v>42</v>
      </c>
      <c r="C2" s="1" t="s">
        <v>251</v>
      </c>
      <c r="D2" s="1" t="s">
        <v>252</v>
      </c>
      <c r="E2" s="1" t="s">
        <v>253</v>
      </c>
      <c r="F2" s="1" t="s">
        <v>254</v>
      </c>
      <c r="G2" s="1" t="s">
        <v>255</v>
      </c>
    </row>
    <row r="3" spans="1:7" ht="43.5" x14ac:dyDescent="0.35">
      <c r="A3" s="1" t="s">
        <v>256</v>
      </c>
      <c r="B3" s="1" t="s">
        <v>85</v>
      </c>
      <c r="C3" s="1" t="s">
        <v>41</v>
      </c>
      <c r="D3" s="1" t="s">
        <v>41</v>
      </c>
      <c r="E3" s="1" t="s">
        <v>257</v>
      </c>
      <c r="F3" s="1" t="s">
        <v>258</v>
      </c>
      <c r="G3" s="1" t="s">
        <v>259</v>
      </c>
    </row>
    <row r="4" spans="1:7" ht="29" x14ac:dyDescent="0.35">
      <c r="A4" s="1" t="s">
        <v>41</v>
      </c>
      <c r="B4" s="1" t="s">
        <v>260</v>
      </c>
      <c r="C4" s="1" t="s">
        <v>261</v>
      </c>
      <c r="D4" s="1" t="s">
        <v>28</v>
      </c>
      <c r="E4" s="1" t="s">
        <v>262</v>
      </c>
      <c r="F4" s="1" t="s">
        <v>263</v>
      </c>
      <c r="G4" s="1" t="s">
        <v>264</v>
      </c>
    </row>
    <row r="5" spans="1:7" x14ac:dyDescent="0.35">
      <c r="A5" s="1" t="s">
        <v>265</v>
      </c>
      <c r="B5" s="1" t="s">
        <v>28</v>
      </c>
      <c r="C5" s="1" t="s">
        <v>266</v>
      </c>
      <c r="D5" s="1" t="s">
        <v>267</v>
      </c>
      <c r="E5" s="1"/>
      <c r="F5" s="1"/>
      <c r="G5" s="1" t="s">
        <v>268</v>
      </c>
    </row>
    <row r="6" spans="1:7" x14ac:dyDescent="0.35">
      <c r="A6" s="1" t="s">
        <v>28</v>
      </c>
      <c r="B6" s="1"/>
      <c r="C6" s="1"/>
      <c r="D6" s="1"/>
      <c r="E6" s="1"/>
      <c r="F6" s="1"/>
      <c r="G6" s="1"/>
    </row>
    <row r="7" spans="1:7" x14ac:dyDescent="0.35">
      <c r="A7" s="1" t="s">
        <v>269</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28BA07-FD07-4BF6-A5A5-C36F2194B1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f5d18f-a539-415a-b4b5-b13bf63fbc53"/>
    <ds:schemaRef ds:uri="3de8a3b1-ed4f-410f-8887-f682d26381a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98CA860-76E1-4F5F-B46F-7BF705BE868D}">
  <ds:schemaRefs>
    <ds:schemaRef ds:uri="http://schemas.microsoft.com/office/2006/metadata/properties"/>
    <ds:schemaRef ds:uri="http://schemas.microsoft.com/office/infopath/2007/PartnerControls"/>
    <ds:schemaRef ds:uri="fbf5d18f-a539-415a-b4b5-b13bf63fbc53"/>
    <ds:schemaRef ds:uri="3de8a3b1-ed4f-410f-8887-f682d26381a0"/>
  </ds:schemaRefs>
</ds:datastoreItem>
</file>

<file path=customXml/itemProps3.xml><?xml version="1.0" encoding="utf-8"?>
<ds:datastoreItem xmlns:ds="http://schemas.openxmlformats.org/officeDocument/2006/customXml" ds:itemID="{5FB5EC8F-6DDA-4EEB-ACA6-454A491FFD4A}">
  <ds:schemaRefs>
    <ds:schemaRef ds:uri="http://schemas.microsoft.com/sharepoint/v3/contenttype/forms"/>
  </ds:schemaRefs>
</ds:datastoreItem>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Projetos</vt:lpstr>
      <vt:lpstr>Listas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Lincon Lacerda dos Santos</cp:lastModifiedBy>
  <cp:revision/>
  <dcterms:created xsi:type="dcterms:W3CDTF">2026-09-11T12:48:20Z</dcterms:created>
  <dcterms:modified xsi:type="dcterms:W3CDTF">2026-10-26T21:48:30Z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