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mc:AlternateContent xmlns:mc="http://schemas.openxmlformats.org/markup-compatibility/2006">
    <mc:Choice Requires="x15">
      <x15ac:absPath xmlns:x15ac="http://schemas.microsoft.com/office/spreadsheetml/2010/11/ac" url="https://governosp.sharepoint.com/teams/DETRAN-assessoria.governanca/Shared Documents/General/PROJETOS/PROJETOS - RAP/"/>
    </mc:Choice>
  </mc:AlternateContent>
  <xr:revisionPtr revIDLastSave="0" documentId="8_{A6E36CCD-40C1-44B9-BCA9-46D8D52C8FFA}" xr6:coauthVersionLast="47" xr6:coauthVersionMax="47" xr10:uidLastSave="{00000000-0000-0000-0000-000000000000}"/>
  <bookViews>
    <workbookView xWindow="-120" yWindow="-16320" windowWidth="29040" windowHeight="15720" xr2:uid="{00000000-000D-0000-FFFF-FFFF00000000}"/>
  </bookViews>
  <sheets>
    <sheet name="Projetos" sheetId="2" r:id="rId1"/>
    <sheet name="Listas" sheetId="10" state="hidden" r:id="rId2"/>
  </sheets>
  <definedNames>
    <definedName name="_xlnm._FilterDatabase" localSheetId="0" hidden="1">Projetos!$A$1:$X$33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2" l="1"/>
</calcChain>
</file>

<file path=xl/sharedStrings.xml><?xml version="1.0" encoding="utf-8"?>
<sst xmlns="http://schemas.openxmlformats.org/spreadsheetml/2006/main" count="386" uniqueCount="280">
  <si>
    <t>ID Projeto</t>
  </si>
  <si>
    <t>Projeto</t>
  </si>
  <si>
    <t>Portaria</t>
  </si>
  <si>
    <t>GP</t>
  </si>
  <si>
    <t>Área</t>
  </si>
  <si>
    <t>Status</t>
  </si>
  <si>
    <t>Situação</t>
  </si>
  <si>
    <t>Justificativa da Situação</t>
  </si>
  <si>
    <t>Período da última semana</t>
  </si>
  <si>
    <t>O que foi feito na última semana</t>
  </si>
  <si>
    <t>% Execução</t>
  </si>
  <si>
    <t>%Consumo 
Prazo</t>
  </si>
  <si>
    <t>Data Início</t>
  </si>
  <si>
    <t>Data Fim Planejada</t>
  </si>
  <si>
    <t>Data Fim Atual</t>
  </si>
  <si>
    <t>Data Última RAP</t>
  </si>
  <si>
    <t>Últimas Atualizações</t>
  </si>
  <si>
    <t>Próximos Passos</t>
  </si>
  <si>
    <t>Pontos de Atenção</t>
  </si>
  <si>
    <t>Impedimentos</t>
  </si>
  <si>
    <t>Pendências</t>
  </si>
  <si>
    <t>Riscos</t>
  </si>
  <si>
    <t>Escopo</t>
  </si>
  <si>
    <t>Objetivos Estratégicos</t>
  </si>
  <si>
    <t>PRJ020</t>
  </si>
  <si>
    <t>#SOUDETRAN</t>
  </si>
  <si>
    <t>Edson Arcas</t>
  </si>
  <si>
    <t>ASCOM</t>
  </si>
  <si>
    <t>Concluído</t>
  </si>
  <si>
    <t>Desenvolvimento e implementação de um ambiente de trabalho digital (digital workplace) para os colaboradores do Detran-SP, consolidando em uma única plataforma as informações e ferramentas necessárias para o seu dia a dia, desde o onboarding até a aposentadoria.
Esta solução estará alinhada com a essência do employee experience, visando aumentar o engajamento dos colaboradores através de funcionalidades que promovam a comunicação e transparência, a colaboração, o aprendizado e a produtividade.
A solução tecnológica será integrada ao ecossistema da Microsoft, podendo ser acessada via Teams e contará com três subprodutos principais:
Intranet (#SouDetranSP) – Microsoft Viva Connections: Portal interno com ênfase na organização, produtividade, comunicação institucional, interação e gestão de pessoas (praVC).
Será o principal ponto de acesso para o colaborador obter informações institucionais, atualizações e encontrar as ferramentas necessárias para a execução de suas tarefas.
Rede Social Corporativa – Microsoft Viva Engage: Ferramenta dedicada a promover a comunicação ágil com e entre os colaboradores, incentivando a colaboração e troca de conhecimentos.
Permitirá a criação de comunidades baseadas em processos de negócio, possibilitando uma coleta de informações bottom-up, o que contribuirá para a melhoria contínua dos processos internos.</t>
  </si>
  <si>
    <t xml:space="preserve">Otimizar a gestão de pessoas e adequar a força de trabalho
Implementar as melhores práticas para a excelência dos processos internos e serviços à sociedade
Implantar mecanismos de gestão meritocrática e promover o espírito de equipe
</t>
  </si>
  <si>
    <t>PRJ023</t>
  </si>
  <si>
    <t>ARQUITETURA DE TIC</t>
  </si>
  <si>
    <t>Sérgio Araújo</t>
  </si>
  <si>
    <t>DTI</t>
  </si>
  <si>
    <t>Dar visibilidade a todos os aspectos que compõem o parque tecnológico, incluindo a compreensão de todo investimento ativo e recorrente, sua disponibilidade, duplicidades, efetividade e eficiência operacional, assim como identificar e avaliar a necessidade e manutenção, mirando a melhoria contínua.
Ainda, atualizar o desenho da topologia dos sistemas, destacando todas as suas conexões e integrações, possíveis pontos de melhorias e recomendações, e preparação dos ambientes para mudança.
Priorizar os sistemas estratégicos para tomada de decisão quanto a investimento, aposentadoria de sistemas, convivência e reestruturação.
O projeto engloba o mapeamento de todos os componentes do Detran-SP e interfaces que compõem a arquitetura dos sistemas, considerando, mas não se limitando, aos seguintes aspectos:</t>
  </si>
  <si>
    <t>Empregar soluções tecnológicas inovadoras para alavancar os resultados
Garantir a segurança, integridade e efetiva governança de dados e informações
Otimizar a alocação e modernização dos equipamentos e da infraestrutura
Implementar as melhores práticas para a excelência dos processos internos e serviços à sociedade
Implementar gestão de performance e subsidiar as decisões com evidências
Adotar as melhores práticas de transparência ativa, acesso à informação e proteção de dados
Estruturar o controle interno e a gestão de riscos com as melhores práticas de compliance
Reduzir o custo dos serviços e contribuir para a competitividade e a prosperidade do Estado de São Paulo</t>
  </si>
  <si>
    <t>PRJ002</t>
  </si>
  <si>
    <t>ASIMOV</t>
  </si>
  <si>
    <t>Portaria DETRAN-SP nº 5.561, de 20 de setembro de 2024</t>
  </si>
  <si>
    <t>PRODESP</t>
  </si>
  <si>
    <t>Em andamento</t>
  </si>
  <si>
    <t>Saudável</t>
  </si>
  <si>
    <t>Live 1.0 - entregue
Consulta de peças - entregue
Live 2.0 em andamento sem impeditivos</t>
  </si>
  <si>
    <t>26/10/2026 a 29/10/2026</t>
  </si>
  <si>
    <t>Gestão de procuração 2.0: Ajustando história de usuário.
Novo app: Área realizou homologação e solicitou 25 ajustes, com entrega até 29/10/26;
Live 2.0: Feito correções do Portal e integrado SISPL com mainframe.
Emplacar veículo 0Km: Detalhado cronograma de execução</t>
  </si>
  <si>
    <t>Gestão de procuração 2.0: Realizar ajustes nas história do usuário e desenvolver protótipo;
Novo app: Realizar ajustes no app, até 29/10/26.
Autorização de Transporte Escolar: Detalhar cronograma de desenvolvimento.
Live 2.0: Homologar o desenvolvimento do portal, Executar QA-SISPL Sem socket e Construir o Socket-MF no SISPL.
Emplacar veículo 0Km: Desenvolver estrutura técnica e modelo de dados da aplicação.</t>
  </si>
  <si>
    <t>Não houve report pelo GP do projeto:
Primeira Habilitação;
Renovação da CNH.
Autorização de Transporte Escolar: Chaintec não forneceu cronograma de desenvolvimento.</t>
  </si>
  <si>
    <t xml:space="preserve">
Planejar a implementação e gerir a equipe de fornecedores para desenvolvimento de produtos digitais, para o Departamento Estadual de Trânsito do Estado de São Paulo (DETRAN-SP), utilizando modelos de inteligência artificial generativa e linguagem de grande escala.
Primeira Habilitação
Renovação da CNH
Live 1.0
Live2.0
Autorização de Transporte Escolar (ATE)
Gestão de Procuração 2.0
Emplacar Veículo 0Km
Novo APP DETRAN-SP</t>
  </si>
  <si>
    <t xml:space="preserve">Otimizar a experiência e a satisfação do usuário com o atendimento
Implementar as melhores práticas para a excelência dos processos internos e serviços à sociedade
Comunicar com foco nos serviços, na prestação de contas e na construção da marca
Adotar as melhores práticas de transparência ativa, acesso à informação e proteção de dados
Empregar soluções tecnológicas inovadoras para alavancar os resultados
</t>
  </si>
  <si>
    <t>PRJ014</t>
  </si>
  <si>
    <t>BONIFICAÇÃO POR RESULTADOS</t>
  </si>
  <si>
    <t>LEI COMPLEMENTAR N° 1.361, DE 21 DE OUTUBRO DE 2021</t>
  </si>
  <si>
    <t>Presidência</t>
  </si>
  <si>
    <t xml:space="preserve">Implementar a bonificação por resultados no DETRAN-SP, nos termos da LEI COMPLEMENTAR N° 1.361, DE 21 DE OUTUBRO DE 2021.
</t>
  </si>
  <si>
    <t>Desenvolver competências convergentes com a estratégia institucional
Cuidar das pessoas e valorizar o desempenho e o mérito
Aprimorar a educação corporativa e para o trânsito
Implantar mecanismos de gestão meritocrática e promover o espírito de equipe
Implementar gestão de performance e subsidiar as decisões com evidências
Disseminar a cultura de inovação, a gestão de projetos e processos
Implementar as melhores práticas para a excelência dos processos internos e serviços à sociedade
Otimizar a experiência e a satisfação do usuário com o atendimento
Subsidiar políticas públicas com foco em resultados concretos e mensuráveis</t>
  </si>
  <si>
    <t>PRJ010</t>
  </si>
  <si>
    <t>CONCURSO PÚBLICO</t>
  </si>
  <si>
    <t>DSV</t>
  </si>
  <si>
    <t>Projeto segue dentro do prazo, conforme planejado
Edital  publicado - provas 01/11/2026 (DAL)
Material de treinamento em elaboração
Concurso Público ocorre no domingo (01/11) conforme planejado</t>
  </si>
  <si>
    <t>Realizado alinhamento com a Tati junto EPT sobre a grade do curso de formação e uso dos 60 dias propostas pela EPT, do conteúdo que é obrigatório versus o que fica como complementar - pendente validação da grade de formação dos 60 dias.</t>
  </si>
  <si>
    <t>Publicação do Edital - Prova 01/11/2026.
Análise da lista de docentes da DHC está sendo realizada pela DCI e realizado alinhamento com DTI sobre a disponibilidade de equipamentos e posições de trabalho para o treinamento dos ingressantes.
Concurso Público ocorre no domingo (01/11) conforme planejado.
Realizado alinhamento com a Tati junto EPT sobre a grade do curso de formação e uso dos 60 dias propostas pela EPT, do conteúdo que é obrigatório versus o que fica como complementar.</t>
  </si>
  <si>
    <t>Atualização do cronograma.
Novo alinhamento com Tati e EPT para concluir as definições/validação de grade dos 60 dias.
Definição dos locais na SEDE para realização do curso EAD para os ingressantes com Norma - depende da estratégia a ser definida para a formação em 60 dias com EPT e Tati.
DCI finalizar a pesquisa dos docentes da DHC.
DAC abrir SEI direcionado a DCI para solicitar pesquisa de seus docentes.</t>
  </si>
  <si>
    <t>Atraso na revisão e validação do conteúdo da capacitação;
Alterações normativas durante a produção do conteúdo da capacitação.</t>
  </si>
  <si>
    <r>
      <t xml:space="preserve">Promover a recepção dos novos agentes, garantindo que o processo de onboarding seja estruturado e acolhedor.
A iniciativa contempla a apresentação institucional, incluindo áreas da empresa, benefícios e regras internas, além de reforçar a integração cultural por meio de atividades que transmitam valores, missão e visão da organização, serão ministrados treinamentos operacionais voltados às rotinas e processos específicos de cada função, com suporte de ferramentas digitais que centralizam informações, documentos e conteúdos de capacitação.
Capacitação dos novos ingressantes para o exercício da função.
</t>
    </r>
    <r>
      <rPr>
        <b/>
        <sz val="11"/>
        <color theme="1"/>
        <rFont val="Calibri"/>
        <family val="2"/>
        <scheme val="minor"/>
      </rPr>
      <t>NÃO ESCOPO</t>
    </r>
    <r>
      <rPr>
        <sz val="11"/>
        <color theme="1"/>
        <rFont val="Calibri"/>
        <family val="2"/>
        <scheme val="minor"/>
      </rPr>
      <t>: O Concurso Público em andamento é de responsabilidade única e exclusivamente da DAL. 
A data da realização da prova, descrita  nesse projeto, é meramente informativa.</t>
    </r>
  </si>
  <si>
    <t xml:space="preserve">Aperfeiçoar a estrutura organizacional e a qualificação do atendimento
Otimizar a gestão de pessoas e adequar a força de trabalho
Desenvolver competências convergentes com a estratégia institucional
Aprimorar a educação corporativa e para o trânsito
Otimizar a experiência e a satisfação do usuário com o atendimento
</t>
  </si>
  <si>
    <t>PRJ019</t>
  </si>
  <si>
    <t>CSM</t>
  </si>
  <si>
    <t>Portaria DETRAN-SP nº 4.021, de 13 de junho de 2024</t>
  </si>
  <si>
    <t>Lucas Cesário</t>
  </si>
  <si>
    <t>FASE 1 - Implementação do Serviço de Atendimento ao Cidadão (SAC), destinado ao tratamento das manifestações dos cidadãos.
Desenvolvimento do Portal SAC com integração GOV.br
Governança na gestão de contas.
Governança na gestão da retaguarda (grupos e assuntos).
Desenvolvimento de API para governança de dados.
FASE 2 - Provimento de serviços aos usuários externos, bem como de serviços internos para as diretorias do Departamento Estadual de Trânsito de São Paulo (DETRAN-SP).
Desenvolvimento do módulo serviços.
Desenvolvimento da integração ao SEI.
Integração com a Intranet.
Desenvolvimento da TI para governança de dados.
Disponibilização dos serviços de forma responsiva no novo APP Detran.</t>
  </si>
  <si>
    <t>Otimizar a experiência e a satisfação do usuário com o atendimento
Ampliar a disponibilidade, a eficiência e a acessibilidade digital de todos os serviços a todas as pessoas
Automatizar os processos com emprego de inteligência artificial e aprendizagem de máquinas
Implementar as melhores práticas para a excelência dos processos internos e serviços à sociedade
Implementar gestão de performance e subsidiar as decisões com evidências
Adotar as melhores práticas de transparência ativa, acesso à informação e proteção de dados
Empregar soluções tecnológicas inovadoras para alavancar resultados
Aperfeiçoar a estrutura organizacional e a qualificação do atendimento</t>
  </si>
  <si>
    <t>PRJ027</t>
  </si>
  <si>
    <t>DETRAN PAY</t>
  </si>
  <si>
    <t>DAL</t>
  </si>
  <si>
    <t xml:space="preserve">A Plataforma Detran-Pay é a solução institucional responsável por gerar, processar e validar
pagamentos oficiais, habilitar a execução de serviços, controlar o ciclo de vida da vistoria e
realizar a distribuição financeira dos valores arrecadados entre os entes envolvidos no processo.
A plataforma atua como núcleo financeiro e operacional, integrando cidadãos, meios de pagamento, Backoffice Operacional, Empresas Credenciadas de Vistoria (ECVs), Integradoras e Auditoras, garantindo que todo serviço executado esteja formalmente vinculado a um pagamento válido, conciliado e distribuído conforme regras institucionais.
O Detran-Pay é responsável por:
● gerar o QRCode de pagamento do serviço
● processar e confirmar o pagamento
● gerar o token de vistoria somente após confirmação financeira
● controlar os status da vistoria em comunicação direta com o Backoffice Operacional
● receber o encerramento da vistoria
● realizar a distribuição financeira do valor total da vistoria entre:  ECV, Integradora e  Auditora
● encaminhar a parcela institucional do Detran-SP por meio de pagamento via DARE
● disponibilizar consulta de pagamentos para o Portal dos Credenciados
● manter serviço de cadastro, atualização e consulta de dados bancários das entidades credenciadas
● disponibilizar extrato de pagamentos ao cidadão autenticado
● receber e registrar pedidos de restituição.
</t>
  </si>
  <si>
    <t>Assegurar a qualidade dos serviços delegados com foco na excelência operacional
Aprimorar a gestão de receitas e a aplicação de recursos orçamentários e financeiros</t>
  </si>
  <si>
    <t>PRJ011</t>
  </si>
  <si>
    <t>ESTRATÉGIA DETRAN-SP</t>
  </si>
  <si>
    <t>Portaria Normativa DETRAN-SP nº 6, de 31 de agosto de 2023</t>
  </si>
  <si>
    <t>Contempla o mapa estratégico, cadeia de valor, portfólio de projetos estratégicos, portfólio de indicadores estratégicos e carta de serviços</t>
  </si>
  <si>
    <t>Implementar as melhores práticas para a excelência dos processos internos e serviços à sociedade
Disseminar a cultura de inovação, a gestão de projetos e processos
Implementar gestão de performance e subsidiar as decisões com evidências
Otimizar a experiência e a satisfação do usuário com o atendimento
Adotar o modelo de governança multinível em rede</t>
  </si>
  <si>
    <t>PRJ001</t>
  </si>
  <si>
    <t>FOCUS</t>
  </si>
  <si>
    <t>Portaria DETRAN-SP Nº 2.889, DE 25 DE ABRIL DE 2024</t>
  </si>
  <si>
    <t>Isabella Monteiro</t>
  </si>
  <si>
    <t>DFT</t>
  </si>
  <si>
    <t>Atenção</t>
  </si>
  <si>
    <t>Mudança de estratégia: 
Decisão de entrar na licitação da PRF para aquisição das câmeras corporais;
Dependência de licitação a ser realizada por outro órgão;
Até o momento não temos resposta da PRF sobre a licitação.</t>
  </si>
  <si>
    <t>Nenhuma realização relevante registrada no período.
Não houve necessidade de agenda do projeto</t>
  </si>
  <si>
    <t>Decisão de entrar na licitação da PRF para aquisição das câmeras corporais
Foi solicitado formalmente à PRF a inclusão das camêras para o DETRAN-SP na licitação.
Não houve resposta da PRF até o momento.
Não houve necessidade de agenda do projeto</t>
  </si>
  <si>
    <t xml:space="preserve">Aguardando resposta da PRF sobre a licitação.
</t>
  </si>
  <si>
    <t>Dependência da licitação da PRF.</t>
  </si>
  <si>
    <t>Estudar e implementar solução de monitoramento audiovisual da atuação do Departamento Estadual de Trânsito do Estado de São Paulo (DETRAN-SP).</t>
  </si>
  <si>
    <t>Adotar as melhores práticas de transparência ativa, de acesso à informação e de proteção de dados
Assegurar a qualidade dos serviços delegados com foco na excelência operacional
Cuidar das pessoas e valorizar o desempenho e o mérito
Empregar soluções tecnológicas inovadoras para alavancar os resultados
Fortalecer a atuação e a cooperação com os demais órgãos de trânsito e segurança pública
Otimizar a fiscalização com foco na promoção da segurança e da eficiência
Promover a cultura de integridade e auditoria permanente, combatendo com agilidade os desvios e a corrupção
Promover a segurança no trânsito e reduzir os indicadores de óbitos e feridos em sinistros</t>
  </si>
  <si>
    <t>PRJ012</t>
  </si>
  <si>
    <t>GUILHOTINA REGULATÓRIA</t>
  </si>
  <si>
    <t>Portaria Normativa DETRAN-SP nº 1, de 20 de março de 2023</t>
  </si>
  <si>
    <t>DGR</t>
  </si>
  <si>
    <t xml:space="preserve"> Definir a forma de como se publica portarias, revogar uma série de portarias e enxugar as novas portarias.</t>
  </si>
  <si>
    <t>Simplificar a gestão regulatória e induzir avanços nas normas de trânsito
Reduzir o custo dos serviços e contribuir para a competitividade e a prosperidade do Estado de São Paulo</t>
  </si>
  <si>
    <t>PRJ004</t>
  </si>
  <si>
    <t>HABILITA-SP</t>
  </si>
  <si>
    <t>Portaria DETRAN-SP nº 49, de 22 de Janeiro de 2025</t>
  </si>
  <si>
    <t>Priscilla Elias e Silva</t>
  </si>
  <si>
    <t>AEPE</t>
  </si>
  <si>
    <t xml:space="preserve">Demora no processo de contratação pela área de infraestrutura.
Desenhos técnicos necessários para contratação disponibilizados desde julho/2026.
</t>
  </si>
  <si>
    <t>Não houve necessidade de agenda do projeto</t>
  </si>
  <si>
    <t>Consolidação da Estaiadinha como projeto-piloto e referência técnica do Habilita SP;
Desenvolvimento das definições de layout, fluxos, materialidade e aplicabilidade do conceito;
Conclusão e encaminhamento dos desenhos técnicos à Infraestrutura em julho/2026; Processo encaminhado para continuidade das etapas necessárias à contratação de projetos, obra e serviços para implantação da unidade.
Não houve necessidade de agenda do projeto.</t>
  </si>
  <si>
    <t>Prosseguimento, pela área de Infraestrutura, dos procedimentos necessários para contratação e implantação da unidade, contemplando os projetos e serviços necessários à execução da obra.
Paralelamente, as definições consolidadas no projeto-piloto deverão subsidiar a padronização e replicabilidade do Habilita SP, com as devidas adequações às características e necessidades de cada futura unidade.</t>
  </si>
  <si>
    <t>Necessidade de acompanhamento do andamento da contratação pela Infraestrutura, considerando que os desenhos técnicos estão disponibilizados desde julho/2026.
Por se tratar do projeto-piloto, eventuais ajustes identificados durante as etapas de projeto executivo e implantação deverão ser avaliados quanto ao seu impacto no padrão a ser replicado nas demais unidades do Habilita SP.</t>
  </si>
  <si>
    <t>Cronograma com estimativa do prazo final</t>
  </si>
  <si>
    <t>Risco de impacto no cronograma de implantação, caso haja prolongamento das etapas de contratação dos projetos, obra e serviços.
Considerando o caráter piloto da Estaiadinha, eventual atraso também poderá repercutir na validação prática das soluções e na consolidação do padrão para expansão do Habilita SP.</t>
  </si>
  <si>
    <t>Desenvolver e implementar, no âmbito do Estado de São Paulo, as localidades e instalações de realização dos exames práticos de direção veicular, com fundamento no artigo 12, da Resolução CONTRAN nº 789, 18 de junho de 2020, promovendo a formação responsável de condutores e contribuindo para a segurança viária, por meio de processos íntegros e eficientes, atendimento de excelência e infraestrutura de alta qualidade.</t>
  </si>
  <si>
    <t>Adotar as melhores práticas de transparência ativa, de acesso à informação e de proteção de dados
Aperfeiçoar a estrutura organizacional e a qualificação do atendimento
Assegurar a qualidade dos serviços delegados com foco na excelência operacional
Implementar as melhores práticas para a excelência dos processos internos e serviços à sociedade
Otimizar a alocação e modernização dos equipamentos e da infraestrutura
Otimizar a experiência e a satisfação do usuário com o atendimento
Garantir a qualidade dos serviços delegados, com foco na excelência operacional
Promover a cultura de integridade e auditoria permanente, combatendo com agilidade os desvios e a corrupção</t>
  </si>
  <si>
    <t>PRJ016</t>
  </si>
  <si>
    <t>HEIMDALL</t>
  </si>
  <si>
    <t>Contratação direta da Companhia de Processamento de Dados do Estado de São Paulo – PRODESP para prestação de Serviços de Segurança de Identidade em TI (Tecnologia da Informação) composto de:
Serviço de Proteção e Gerenciamento de Identidades Privilegiadas (Privilegie Access Management - PAM);
O serviço de proteção e gerenciamento de identidades privilegiadas tem como objetivo proteger as contas privilegiadas através da descoberta e troca periódica de senhas/contas.
Serviço de Proteção e Gerenciamento de Privilégios de Estações de Trabalho (Enterprise Performance Management - EPM);
O serviço de proteção e gerenciamento de privilégios de estações de trabalho tem como objetivo proteger endpoints contra-ataques, reduzindo o risco de informações serem roubadas ou criptografadas, como um ataque ransomware, além da prevenção de roubo de credenciais, realizar o bloqueio de instalações de aplicações não autorizadas e elevação de privilégios.
Serviço de Proteção e Gerenciamento de Usuários de Negócio (Identity and Access Management - IAM) e;
O serviço de Gerenciamento de Usuários de Negócio fornece uma plataforma unificada para a centralização dos logins dos usuários, bem como Múltiplos Fatores de Autenticação para proteger os acessos às aplicações de negócio.
Serviço de Proteção e Gerenciamento de Identidades Privilegiadas não Humanas.
O serviço de proteção de identidades de aplicações modernas é capaz de gerenciar e rotacionar credenciais de aplicações em contêineres, entregando as credenciais para suas aplicações diretamente na esteira de desenvolvimento.
O serviço se adequa a disciplina de proteção e gerenciamento de identidades privilegiadas, capaz de remover credenciais embutidas em código e garantir o conceito de menor privilégio.</t>
  </si>
  <si>
    <t>Promover a cultura de integridade e auditoria permanente, combatendo com agilidade os desvios e a corrupção
Estruturar o controle interno e a gestão de riscos com as melhores práticas de compliance
Garantir a segurança, integridade e efetiva governança de dados e informações</t>
  </si>
  <si>
    <t>PRJ032</t>
  </si>
  <si>
    <t>HIVE</t>
  </si>
  <si>
    <t>Portaria DETRAN-SP nº 4.429, de 17 de julho de 2024</t>
  </si>
  <si>
    <t>Norma Gregório</t>
  </si>
  <si>
    <t>Implantar e desenvolver o Centro de Monitoramento, Comando e Controle de Operações deste Departamento Estadual de Trânsito (DETRAN-SP), destinado ao monitoramento e à gestão das operações da autarquia, utilizando-se de tecnologias para otimização do fluxo de informações e capacidade de pronta resposta aos incidentes e riscos operacionais.</t>
  </si>
  <si>
    <t>Adotar as melhores práticas de transparência ativa, de acesso à informação e de proteção de dados
Empregar soluções tecnológicas inovadoras para alavancar os resultados
Estruturar o controle interno e a gestão de riscos com as melhores práticas de "compliance" (conformidade)
Fortalecer a atuação e a cooperação com os demais órgãos de trânsito e segurança pública
Garantir a segurança, integridade e efetiva governança de dados e informações
Implementar as melhores práticas para a excelência dos processos internos e serviços à sociedade
Implementar gestão de performance e subsidiar as decisões com evidências
Otimizar a fiscalização com foco na promoção da segurança e da eficiência
Promover a segurança no trânsito e reduzir os indicadores de óbitos e feridos em sinistros</t>
  </si>
  <si>
    <t>PRJ024</t>
  </si>
  <si>
    <t>INFOSIGA</t>
  </si>
  <si>
    <t>Melhorar a qualidade dos dados por meio da aplicação de inteligência artificial, ampliar a capacidade de georreferenciamentodos sinistros, com uso de metodologias baseadas em CadLoge APIs, integrar dados externos estratégicos, implementar alertas gerenciais e enriquecimento de painéis com indicadores críticos, favorecendo a tomada de decisão e o monitoramento contínuo dos dados e aprimoramento da interface como usuário por meio de alterações no front-end.</t>
  </si>
  <si>
    <t>Promover a segurança no trânsito e reduzir os indicadores de óbitos e feridos em sinistros
Subsidiar políticas públicas com foco em resultados concretos e mensuráveis
Ser a plataforma de integração, informação e cooperação para o trânsito</t>
  </si>
  <si>
    <t>PRJ006</t>
  </si>
  <si>
    <t>ITSM-2026</t>
  </si>
  <si>
    <t>Arturo Sangiovani</t>
  </si>
  <si>
    <t>O projeto original contemplava os módulos ITSM, ITAM e ITOM.
Atualmente os módulos ITAM e ITOM estão "congelados" e os esforços estão concentrados apenas no ITSM.</t>
  </si>
  <si>
    <t>Entrega dos Catalogos de Serviço das divisões DAFT, implantar melhorias urgentes, DETRAN-SP -28/09/20026.</t>
  </si>
  <si>
    <t>Entrega do catálogo da Divisão de Auditoria Forense Digital, interrompida a construção do Catálogo da Divisão de Segurança da Informação, atender as solicitações de melhorias urgentes, conceder acesso aos assistentens técnicos 3, adicionar função para ciação de rótulo no VTB, adicionar log na atividade de troca de grupo e atalho para página VTB;</t>
  </si>
  <si>
    <t>Retomar desenvolvimento do catálogo da Divisão de Segurança da Informação; Iniciar homologação do catálogo da Divisão de Auditoria Forense Digital e finalizar o desenvolvimento do catálogo da Divisão de Monitoramento e Resposta a Incidentes Cibernéticos;</t>
  </si>
  <si>
    <t xml:space="preserve">Contrato prestes a vencer em 21/11/2026;                                                                                                      </t>
  </si>
  <si>
    <t>Módulos ITAM e ITOM estão "congelados" e os esforços estão concentrados apenas no ITSM.</t>
  </si>
  <si>
    <t>Projeto pode ser interrompido por não assinar o contrato;</t>
  </si>
  <si>
    <t>Implantação e a operacionalização de um sistema integrado de gestão de ativos, de serviços e de operações de Tecnologia da Informação (TI) no âmbito do DETRAN-SP visando a otimização e o controle dos processos relacionados à gestão do ciclo de vida dos ativos de TI, à prestação de serviços de TI e à eficiência operacional dos processos de TI.</t>
  </si>
  <si>
    <t xml:space="preserve">Empregar soluções tecnológicas inovadoras para alavancar os resultados
Aperfeiçoar a estrutura organizacional e a qualificação do atendimento
Otimizar a alocação e modernização dos equipamentos e da infraestrutura
Implementar as melhores práticas para a excelência dos processos internos e serviços à sociedade
Implementar gestão de performance e subsidiar as decisões com evidências
Reduzir o custo dos serviços e contribuir para a competitividade e a prosperidade do Estado de São Paulo
</t>
  </si>
  <si>
    <t>PRJ005</t>
  </si>
  <si>
    <t xml:space="preserve">JORNADA DO CIDADÃO </t>
  </si>
  <si>
    <t>Lincon Lacerda</t>
  </si>
  <si>
    <t>AEGE</t>
  </si>
  <si>
    <t>Mapeamento de todas as jornadas finalizado como planejado.</t>
  </si>
  <si>
    <t>Reavaliação do trabalho pela AME, com ajuste no foco da entrega e na resolução do To-be.</t>
  </si>
  <si>
    <t>Analistas estudando a teoria de Indicadores para aplicarem no projeto, conforme orientação AME e APC.</t>
  </si>
  <si>
    <t>Realinhar formato de indicadores de cada melhoria.</t>
  </si>
  <si>
    <t xml:space="preserve">Validação e feedback das jornadas to-be feitas. </t>
  </si>
  <si>
    <t>Mapeamento de Jornadas, para levantamento de dores e propostas de melhorias com foco no cidadão</t>
  </si>
  <si>
    <t>Disseminar a cultura de inovação, a gestão de projetos e processos
Implementar as melhores práticas para a excelência dos processos internos e serviços à sociedade
Otimizar a experiência e a satisfação do usuário com o atendimento</t>
  </si>
  <si>
    <t>PRJ017</t>
  </si>
  <si>
    <t>LGPD</t>
  </si>
  <si>
    <t>Lucas Helder</t>
  </si>
  <si>
    <t>O projeto tem por finalidade a implantação no âmbito do DETRAN-SP, dos dispositivos estabelecidos pela Lei Geral de Proteção de Dados, envolvendo todas as operações que possuam tratamento de dados pessoais no setor de Atendimento ao Cliente e domínio do site DETRAN-SP.
Tem por finalidade, ainda, mapear os processos internos, estabelecer o plano de riscos e falhas, editar e/ou revisar políticas de privacidade, termos de privacidade, contratos e procedimentos operacionais e administrativos, bem como promover a conscientização dentro da autarquia sobre referida lei e boas práticas, visando garantir a total adesão à LGPD.
Ao final do projeto, estima-se que o DETRAN-SP conte com os seguintes resultados:
Política de Privacidade do Site.
Política de Privacidade de Cookies.
Políticas de Privacidade Institucionais.
Programa Corporativo de Conscientização sobre à LGPD.
Treinamento.
Estruturação do Comitê de Privacidade
Mapeamento de Dados Pessoais (Data Mapping) do Site e Atendimento ao Cliente.
Gap Analysis do Site e Atendimento ao Cliente.
Record Of Processing Activities (ROPA) inicial.
Relatório de Impacto a Proteção de Dados (RIPD).
Controle de Evidências.
Adequação de aditivos contratuais.
Termos de privacidade.
Due Diligence.
Privacy by Design.
Plano de Resposta a Incidentes de Segurança.
Criação do Controle de solicitações e resposta a titulares de dados.
Criação do Processo de Sustentação ao Programa de Privacidade</t>
  </si>
  <si>
    <t>Adotar as melhores práticas de transparência ativa, de acesso à informação e de proteção de dados
Garantir a segurança, integridade e efetiva governança de dados e informações
Estruturar o controle interno e a gestão de riscos com as melhores práticas de compliance</t>
  </si>
  <si>
    <t>PRJ022</t>
  </si>
  <si>
    <t>LIVE</t>
  </si>
  <si>
    <t>DCA</t>
  </si>
  <si>
    <t xml:space="preserve">Criar aplicativo parta a liberação imediada de veículo recolhido, mediante o pagamento de todas as taxas recolhido </t>
  </si>
  <si>
    <t>Automatizar os processos com emprego de inteligência artificial e aprendizagem de máquinas
Ampliar a disponibilidade, a eficiência e a acessibilidade de todos os serviços a todas as pessoas 
Otimizar a experiência e a satisfação do usuário com o atendimento
Assegurar a qualidade dos serviços delegados com foco na excelência operacional
Reduzir o custo dos serviços e contribuir para a competitividade e a prosperidade do Estado de São Paulo</t>
  </si>
  <si>
    <t>PRJ013</t>
  </si>
  <si>
    <t>MARCA DO DETRAN-SP</t>
  </si>
  <si>
    <t>Portaria Normativa DETRAN-SP nº 3, de 20 de julho de 2023</t>
  </si>
  <si>
    <t xml:space="preserve">Construção da marca do Detran-SP.
Transmitir ao cidadão a eficiência e a confiança nos serviços.
Transmitir o conceito disponibilidade do Detran-SP em atender o cidadão.
</t>
  </si>
  <si>
    <t>Comunicar com foco nos serviços, na prestação de contas e na construção da marca
Assegurar a qualidade dos serviços delegados com foco na excelência operacional
Otimizar a experiência e a satisfação do usuário com o atendimento
Ampliar a disponibilidade, a eficiência e a acessibilidade digital de todos os serviços a todas as pessoas</t>
  </si>
  <si>
    <t>PRJ029</t>
  </si>
  <si>
    <t>NORMAS</t>
  </si>
  <si>
    <t>Criação de um framework para estruturar a gestão e governança normativa do Estado de São Paulo, por meio de uma curadoria automatizada e centralizada, com o objetivo de realizar o gerenciamento do arcabouço legislativo do Estado, abrangendo o ciclo de vida da norma, no tempo e no espaço e garantindo a fidelidade dos dados ao longo do tempo.</t>
  </si>
  <si>
    <t>Simplificar a gestão regulatória e indizir avanços nas normas de trânsito
Automatizar os processos com emprego de inteligência artificial e aprendizagem de máquinas
Reduzir o custo dos serviços e contribuir para a competitividade e a prosperidade do Estado de São Paulo
Ser a plataforma de integração, informação e cooperação para o trânsito</t>
  </si>
  <si>
    <t>PRJ007</t>
  </si>
  <si>
    <t>PLATAFORMA ESTADUAL DE VISTORIA</t>
  </si>
  <si>
    <t>DVA</t>
  </si>
  <si>
    <t>Em andamento sem impeditivo.</t>
  </si>
  <si>
    <t>Acompanhamento da implantação do MVP2, com avanço de 50% com previsão de término para 03/11/2026.</t>
  </si>
  <si>
    <t>Monitoramento da implantação MVP-1 extendida até 30/10/26, sem impacto no prazo final, com 90% de andamento.
Monitoramento da implantação MVP-2, com 50% de andamento e término em 03/11/2026.</t>
  </si>
  <si>
    <t>Implantar-Laudos de Vistoria de Segurança Veicular (MVP-3).</t>
  </si>
  <si>
    <t>Desenvolvimento e implantação da jornada de pagamento digital das vistorias veiculares no Portal Detran-SP, com integração ao ambiente financeiro do Banco do Brasil e à Plataforma
Estadual de Veículos, conforme as especificações técnicas e requisitos funcionais validados pela Diretoria de Veículos Automotores.
O serviço tem por objetivo viabilizar o recolhimento eletrônico das taxas de vistoria por meio de PIX, dispensando login prévio, com rastreabilidade integral das transações, integração automática com os sistemas de vistoria e restituição automatizada de valores.</t>
  </si>
  <si>
    <t xml:space="preserve">Implementar as melhores práticas para a excelência dos processos internos e serviços à sociedade
Promover a cultura de integridade e auditoria permanente, combatendo com agilidade os desvios e a corrupção
Adotar as melhores práticas de transparência ativa, acesso à informação e proteção de dados
Assegurar a qualidade dos serviços delegados com foco na excelência operacional
</t>
  </si>
  <si>
    <t>PRJ009</t>
  </si>
  <si>
    <t>POLESTAR - MSFT</t>
  </si>
  <si>
    <t>Artur Giannini</t>
  </si>
  <si>
    <t>Projeto apresenta significativo atraso e não há previsão para o término.
Agente OCR - Integração com portal - Best: tem bloqueio de liberação de recursos do Azure impactando cronograma.
- Treinamento - TBD;
- Homologação - TBD;
- GMUD - TBD.
Agente Q&amp;A da Wiki ("Isa") - wave 2 - Integração com o portal - Best:
- Desenvolvimento - 30/10;
- GMUD - 06/11.
Agente Revisor de Conteúdo da wiki - wave 3:
- Entrega Microsoft e Integração com portal pela Best - sem previsão.</t>
  </si>
  <si>
    <t>Sistema de Atendimento: GMUD  apenas ECVs - 05/10/2026</t>
  </si>
  <si>
    <t>Base de Conhecimento - entregue 14/06/2026
Sistema de Atendimento - entregue 14/06/2026 (homologação)
Base de Conhecimento - correções - entregue 30/09/2026</t>
  </si>
  <si>
    <t>Agente OCR de Documentos de Credenciamento - integração com o portal:
--    Treinamento - TBD
--    Homologação - TBD
--    GMUD - TBD
--    Aguardando a migração de configuração OCR e Azure para Produção e Best seguir com cronograma de entrega.
Agente Q&amp;A da Wiki ("Isa") - wave 2 - Microsoft - 06/11/2026
Agente Revisor de Conteúdo da wiki - wave 3:
--    Entrega Microsoft e Integração com portal pela Best - sem previsão</t>
  </si>
  <si>
    <t>O crédito a Microsoft foi aprovado pela Prodesp em 23/10, para custear recursos Azure em Produção e Best seguir replanejar as atividades no cronograma da entrega do OCR e Agentes IA wave2 e wave 3.</t>
  </si>
  <si>
    <t>OCR e Azure: tinha bloqueio de configurações e migração para produção até 23/10 -  Prodesp informou que recursos Azure geram custos e dependem de aprovações adicionais em ambiente de Produção. Esta aprovação foi realizada em 23/10.</t>
  </si>
  <si>
    <t>A falta de um cronograma definido pela MIcrosoft, e a necessidade de  integração com o portal a cargo da Best sinalizam atrasos significativos para esse projeto.</t>
  </si>
  <si>
    <t xml:space="preserve">Base de Conhecimento
Sistema de Atendimento
Agente OCR de documentos de credenciamento
Agente Q&amp;A da Wiki ("Isa")
Agente Revisor de conteúdo da Wiki
</t>
  </si>
  <si>
    <t>Ampliar a disponibilidade, a eficiência e a acessibilidade digital de todos os serviços a todas as pessoas
Aperfeiçoar a estrutura organizacional e a qualificação do atendimento
Assegurar a qualidade dos serviços delegados com foco na excelência operacional
Automatizar os processos com emprego de inteligência artificial e aprendizagem de máquinas
Empregar soluções tecnológicas inovadoras para alavancar os resultados
Estruturar o controle interno e a gestão de riscos com as melhores práticas de "compliance" (conformidade)
Implementar as melhores práticas para a excelência dos processos internos e serviços à sociedade
Implementar rede colaborativa de parceiros em prol da segurança de todos
Otimizar a experiência e a satisfação do usuário com o atendimento
Reduzir o custo dos serviços e contribuir para a competitividade e a prosperidade do Estado de São Paulo</t>
  </si>
  <si>
    <t>PRJ031</t>
  </si>
  <si>
    <t>PROGRAMA DE INTEGRIDADE</t>
  </si>
  <si>
    <t>Portaria Normativa DETRAN-SP nº 21, de 1º de março de 2024</t>
  </si>
  <si>
    <t>DCI</t>
  </si>
  <si>
    <t>Implementar o Programa de Integridade, que consiste em um conjunto estuturado de ações e medidas institucionais para prevenção, detecção e punição de práticas de corrupção, de fraude, de desvios éticos e de outros ilícitos.</t>
  </si>
  <si>
    <t>Otimizar a experiência e a satisfação do usuário com o atendimento
Estruturar o controle interno e a gestão de riscos com as melhores práticas de compliance
Promover a cultura de integridade e auditoria permanente, combatendo com agilidade os desvios e a corrupção
Comunicar com foco nos serviços, na prestação de contas e na construção da marca
Adotar as melhores práticas de transparência ativa, acesso à informação e proteção de dados</t>
  </si>
  <si>
    <t>PRJ021</t>
  </si>
  <si>
    <t>REFORMA ADMINISTRATIVA</t>
  </si>
  <si>
    <t>DECRETO N° 69.053, DE 14 DE NOVEMBRO DE 2024</t>
  </si>
  <si>
    <t>Aprovar a Estrutura Organizacional e o Quadro Demonstrativo dos Cargos em Comissão e das Funções de Confiança do Departamento Estadual de Trânsito - DETRAN-SP.</t>
  </si>
  <si>
    <t>Adotar o modelo de governança multinível em rede</t>
  </si>
  <si>
    <t>PRJ008</t>
  </si>
  <si>
    <t>RST - REGISTRO DE SINISTRO DE TRÂNSITO</t>
  </si>
  <si>
    <t>BeSolution</t>
  </si>
  <si>
    <t>Entrega V3.1: Correção de 10 itens prioritários:
- Homologação Detran: 11/11.
Publicação do app RST nas lojas Android (Google Play) e iOS (App Store): Loja Android foi aprovado, pendente aprovação da loja da App Store.
Cadastro dos primeiros usuários de Produção em andamento: Estimativa de 90 usuários em campo (prova em campo) - 30/10
Mapa de lesões V4 - em desenvolvimento: 
- Homologação em 30/10.
Módulo CST (V4):
- Homologação Detran: TBD;
- Estimativa Be Solution e viabilidade técnica: em atraso, devido novos pedidos do Detran. Nova data será planejada depois de 5 dias do recebimento dos novos requisitos.</t>
  </si>
  <si>
    <t>Correção de Bugs da V3, iniciada subida em Produção, com publicação do App na loja Android e cadastro de usuários em andamento.</t>
  </si>
  <si>
    <t>Detran retornar o parecer sobre as documentações Anexos_C e Ordem_de_Serviço;
Entrega V3.1: Correção de 10 itens prioritários:
- Homologação Detran: 11/11.
Aprovação do APP pela loja iOS (App Store)
Mapa de lesões V4 em desenvolvimento:
- Homologação: 30/10.
Módulo CST (V4):
- Homologação Detran: TBD;
- Estimativa Be Solution e viabilidade técnica: em atraso, devido novos pedidos do Detran. Nova data será planejada depois de 5 dias do recebimento dos novos requisitos.</t>
  </si>
  <si>
    <t>Detran retornar o parecer sobre as documentações Anexos_C e Ordem_de_Serviço (previsão era 13/10, está atrasado)
Atraso no Módulo CST (V4) para estimativa Be Solution e viabilidade técnica devido novos pedidos do Detran. Nova data será planejada depois de 5 dias do recebimento dos novos requisitos.</t>
  </si>
  <si>
    <t>Possível revisão de escopo - impacto no cronograma</t>
  </si>
  <si>
    <t>O RST (Registro de Sinistro de Trânsito) é um sistema digital inovador desenvolvido para modernizar o processo de registro e acompanhamento de acidentes de trânsito.
O projeto tem como foco usabilidade, automação inteligente e integração com fontes oficiais, operando totalmente em nuvem e com arquitetura escalável, responsiva e segura.
O sistema foi construído sobre bases técnicas e operacionais que garantem segurança, desempenho e conformidade.
Foco em entregar App com módulo RST, sendo aplicativo único para todos órgãos de trânsito, com transcrição IA para agente de trânsito/GCM para reportar notificações e integração monta Infosiga.</t>
  </si>
  <si>
    <t xml:space="preserve">Fortalecer a atuação e a cooperação com os demais órgãos de trânsito e segurança pública
Promover a segurança no trânsito e reduzir os indicadores de óbitos e feridos em sinistros
Implementar as melhores práticas para a excelência dos processos internos e serviços à sociedade
Otimizar a fiscalização com foco na promoção da segurança e da eficiência
Ser a plataforma de integração, informação e cooperação para o trânsito
Subsidiar políticas públicas com foco em resultados concretos e mensuráveis
Ampliar a disponibilidade, a eficiência e a acessibilidade de todos os serviços a todas as pessoas
Automatizar os processos com emprego de inteligência artificial e aprendizagem de máquinas 
</t>
  </si>
  <si>
    <t>PRJ003</t>
  </si>
  <si>
    <t>SIAUT</t>
  </si>
  <si>
    <t>Portaria DETRAN-SP nº 4.830, de 30 de julho de 2024</t>
  </si>
  <si>
    <t>Cyntia Tiemi Nihy</t>
  </si>
  <si>
    <t>Projeto paralizado aguardando aprovação da etapa 4 pela Presidência
Devido a férias do P.O. do projeto essa aprovação só ocorrerá após 29/10.</t>
  </si>
  <si>
    <t>Nenhuma realização relevante registrada no período.
Não houve necessidade de agenda do projeto.</t>
  </si>
  <si>
    <t>Etapa 3 - Concluída em 07/08/2026;
Etapa 4 definida pela DFT.</t>
  </si>
  <si>
    <t xml:space="preserve">
Etapa 4 -aprovação da presidência;
Etapa 4 - início - requisitos.
</t>
  </si>
  <si>
    <t xml:space="preserve">Aprovação  da etapa 4 - apenas após 29/10/2026, devido as férias do P.O. do projeto 
</t>
  </si>
  <si>
    <t>Aprovação da Etapa 4</t>
  </si>
  <si>
    <t>O Projeto SIAUT tem por objetivo operacionalizar a lavratura de autuações e a aplicação das respectivas penalidades administrativas oriunda as infrações administrativas conhecidas como "multas de balcão", de competência do DETRAN-SP, que serão implantadas através de 04 (quatro) ETAPAS.
ETAPA1 (MULTAS ART. 165-D)
ETAPA2 (MULTAS ARTS.233 e 257, § 8º - NIC)
ETAPA3 (MULTAS ARTS. 162, 163 ou 164)
ETAPA4 (MULTAS ARTS. 240, 241, 242 e 243)</t>
  </si>
  <si>
    <t>Implementar as melhores práticas para a excelência dos processos internos e serviços à sociedade
Otimizar a fiscalização com foco na promoção da segurança e da eficiência
Promover a segurança no trânsito e reduzir os indicadores de óbitos e feridos em sinistros</t>
  </si>
  <si>
    <t>PRJ030</t>
  </si>
  <si>
    <t>SISTEMA ESTADUAL DO TRÂNSITO</t>
  </si>
  <si>
    <t>DECRETO N° 68.347, DE 29 DE FEVEREIRO DE 2024</t>
  </si>
  <si>
    <t xml:space="preserve"> Instituir o Sistema Estadual de Trânsito - SISTRAN-SP, com o objetivo de promover, no âmbito do Estado de São Paulo, a integração e a cooperação dos órgãos e entidades integrantes do Sistema Nacional de Trânsito - SNT, assegurando, entre esses, atuação uniforme, harmônica e coordenada.</t>
  </si>
  <si>
    <t xml:space="preserve">Estruturar o Sistema Estadual de Trânsito
Fortalecer a atuação e a cooperação com os demais órgãos de trânsito e segurança pública
Ser a plataforma de integração, informação e cooperação para o trânsito
Implementar rede colaborativa de parceiros em prol da segurança de todos
</t>
  </si>
  <si>
    <t>PRJ018</t>
  </si>
  <si>
    <t>SUPERNOVA</t>
  </si>
  <si>
    <t>Portaria DETRAN-SP nº 3.481, de 23 de maio de 2024</t>
  </si>
  <si>
    <t>DAC</t>
  </si>
  <si>
    <t>Planejar, implementar e gerir a equipe de fornecedores para desenvolvimento do novo portal de serviços ao cidadão e do aplicativo móvel.</t>
  </si>
  <si>
    <t>Otimizar a experiência e a satisfação do usuário com o atendimento
Ampliar a disponibilidade, a eficiência e a acessibilidade digital de todos os serviços a todas as pessoas
Implementar as melhores práticas para a excelência dos processos internos e serviços à sociedade
Comunicar com foco nos serviços, na prestação de contas e na construção da marca
Adotar as melhores práticas de transparência ativa, acesso à informação e proteção de dados
Ser a plataforma de integração, informação e cooperação para o trânsito
Empregar soluções tecnológicas inovadoras para alavancar os resultados</t>
  </si>
  <si>
    <t>PRJ025</t>
  </si>
  <si>
    <t>TDV</t>
  </si>
  <si>
    <t>Implementar a transferência de propriedade de veículos de forma digital através do aplicativo CDT (Carteira Digital de Trânsito)</t>
  </si>
  <si>
    <t>Otimizar a experiência e a satisfação do usuário com o atendimento
Reduzir o custo dos serviços e contribuir para a competitividade e a prosperidade do Estado de São Paulo
Automatizar os processos com emprego de inteligência artificial e aprendizagem de máquinas
Implementar as melhores práticas para a excelência dos processos internos e serviços à sociedade</t>
  </si>
  <si>
    <t>PRJ015</t>
  </si>
  <si>
    <t>WIKI</t>
  </si>
  <si>
    <t>José Iberê Fernandes Jr</t>
  </si>
  <si>
    <t xml:space="preserve">Criar uma plataforma de conhecimento para o Detran-SP, permitindo que os colaboradores de todas as áreas possam acessar, compartilhar e atualizar informações essenciais de forma prática e ágil. </t>
  </si>
  <si>
    <t>Implementar as melhores práticas para a excelência dos processos internos e serviços à sociedade
Disseminar a cultura de inovação, a gestão de projetos e processos
Implantar mecanismos de gestão meritocrática e promover o espírito de equipe
Empregar soluções tecnológicas inovadoras para alavancar os resultados</t>
  </si>
  <si>
    <t>PRJ026</t>
  </si>
  <si>
    <t>WS ROTA DOS EXAMINADORES</t>
  </si>
  <si>
    <t>DHC</t>
  </si>
  <si>
    <t>Realizar um workshop para reciclagem dos examinadores, com oficinas teóricas e práticas sobre o exame pratico de direção.
Padronizar o exame em todo o estado.
Criar um novo manual do exame prático.</t>
  </si>
  <si>
    <t>Aperfeiçoar a estrutura organizacional e a qualificação do atendimento
Desenvolver competências convergentes com a estratégia institucional
Otimizar a experiência e a satisfação do usuário com o atendimento
Otimizar a fiscalização com foco na promoção da segurança e da eficiência
Promover a segurança no trânsito e reduzir os indicadores de óbitos e feridos em sinistros
Aprimorar a educação corporativa e para o trânsito</t>
  </si>
  <si>
    <t>PRJ028</t>
  </si>
  <si>
    <t>WS ROTA SEGURA</t>
  </si>
  <si>
    <t>Akihiro Hayashi</t>
  </si>
  <si>
    <t>Realizar o primeiro workshop com aulas teóricas e oficinas práticas para formação de público docentes e discentes de agentes de trânsito ativos/aptos para exercer a função de fiscalização de trânsito.
A Diretoria de Fiscalização de Trânsito de forma inédita, junto com a EPT, formará seus próprios agentes de Fiscalização de trânsito para que atuem com foco na educação e segurança no trânsito em suas abordagens, juntamente com o apoio da PM.</t>
  </si>
  <si>
    <t>Otimizar a fiscalização com foco na promoção da segurança e da eficiência
Promover a segurança no trânsito e reduzir os indicadores de óbitos e feridos em sinistros
Otimizar a experiência e a satisfação do usuário com o atendimento
Aperfeiçoar a estrutura organizacional e a qualificação do atendimento
Desenvolver competências convergentes com a estratégia institucional
Aprimorar a educação corporativa e para o trânsito</t>
  </si>
  <si>
    <t>Status Entrega</t>
  </si>
  <si>
    <t>Status Passo</t>
  </si>
  <si>
    <t>Probabilidade</t>
  </si>
  <si>
    <t>Impacto</t>
  </si>
  <si>
    <t>Status Decisão</t>
  </si>
  <si>
    <t>Backlog</t>
  </si>
  <si>
    <t>Concluída</t>
  </si>
  <si>
    <t>Não iniciado</t>
  </si>
  <si>
    <t>Baixa</t>
  </si>
  <si>
    <t>Baixo</t>
  </si>
  <si>
    <t>Pendente</t>
  </si>
  <si>
    <t>Em planejamento</t>
  </si>
  <si>
    <t>Média</t>
  </si>
  <si>
    <t>Médio</t>
  </si>
  <si>
    <t>Em análise</t>
  </si>
  <si>
    <t>Problema</t>
  </si>
  <si>
    <t>Próxima etapa</t>
  </si>
  <si>
    <t>Alta</t>
  </si>
  <si>
    <t>Alto</t>
  </si>
  <si>
    <t>Decidida</t>
  </si>
  <si>
    <t>Suspenso</t>
  </si>
  <si>
    <t>Atrasada</t>
  </si>
  <si>
    <t>Atrasado</t>
  </si>
  <si>
    <t>Escalonada</t>
  </si>
  <si>
    <t>Cancelado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</si>
</sst>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8"/>
      <name val="Calibri"/>
      <family val="2"/>
      <scheme val="minor"/>
    </font>
    <font>
      <b/>
      <sz val="11"/>
      <color rgb="FFFFFFFF"/>
      <name val="Calibri"/>
      <family val="2"/>
    </font>
    <font>
      <u/>
      <sz val="11"/>
      <color theme="10"/>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183B56"/>
      </patternFill>
    </fill>
    <fill>
      <patternFill patternType="solid">
        <fgColor theme="6"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3" fillId="0" borderId="0" applyNumberFormat="0" applyFill="0" applyBorder="0" applyAlignment="0" applyProtection="0"/>
    <xf numFmtId="9" fontId="5" fillId="0" borderId="0" applyFont="0" applyFill="0" applyBorder="0" applyAlignment="0" applyProtection="0"/>
  </cellStyleXfs>
  <cellXfs count="31">
    <xf numFmtId="0" fontId="0" fillId="0" borderId="0" xfId="0"/>
    <xf numFmtId="0" fontId="0" fillId="0" borderId="0" xfId="0" applyAlignment="1">
      <alignment vertical="top" wrapText="1"/>
    </xf>
    <xf numFmtId="0" fontId="0" fillId="0" borderId="1" xfId="0" applyBorder="1" applyAlignment="1">
      <alignment vertical="center" wrapText="1"/>
    </xf>
    <xf numFmtId="14" fontId="0" fillId="0" borderId="1" xfId="0" applyNumberFormat="1" applyBorder="1" applyAlignment="1">
      <alignment vertical="center" wrapText="1"/>
    </xf>
    <xf numFmtId="14" fontId="0" fillId="0" borderId="1" xfId="0" applyNumberFormat="1" applyBorder="1" applyAlignment="1">
      <alignment horizontal="left" vertical="center" wrapText="1"/>
    </xf>
    <xf numFmtId="0" fontId="0" fillId="0" borderId="1" xfId="0" applyBorder="1" applyAlignment="1">
      <alignment vertical="center"/>
    </xf>
    <xf numFmtId="14" fontId="0" fillId="0" borderId="1" xfId="0" applyNumberFormat="1" applyBorder="1" applyAlignment="1">
      <alignment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0" xfId="0" applyFont="1" applyFill="1" applyAlignment="1">
      <alignment horizontal="center" vertical="center" wrapText="1"/>
    </xf>
    <xf numFmtId="0" fontId="0" fillId="0" borderId="1" xfId="0" applyBorder="1" applyAlignment="1">
      <alignment horizontal="left" vertical="center" wrapText="1"/>
    </xf>
    <xf numFmtId="0" fontId="3" fillId="0" borderId="1" xfId="1" applyBorder="1" applyAlignment="1">
      <alignment vertical="center" wrapText="1"/>
    </xf>
    <xf numFmtId="0" fontId="0" fillId="3" borderId="1" xfId="0" applyFill="1" applyBorder="1" applyAlignment="1">
      <alignment vertical="center" wrapText="1"/>
    </xf>
    <xf numFmtId="0" fontId="0" fillId="3" borderId="1" xfId="0" applyFill="1" applyBorder="1" applyAlignment="1">
      <alignment horizontal="left" vertical="center"/>
    </xf>
    <xf numFmtId="0" fontId="3" fillId="3" borderId="1" xfId="1" applyFill="1" applyBorder="1" applyAlignment="1">
      <alignment vertical="center" wrapText="1"/>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3" borderId="1" xfId="0" applyFill="1" applyBorder="1" applyAlignment="1">
      <alignment horizontal="left" vertical="center" wrapText="1"/>
    </xf>
    <xf numFmtId="0" fontId="0" fillId="3" borderId="1" xfId="0" applyFill="1" applyBorder="1"/>
    <xf numFmtId="14" fontId="0" fillId="3" borderId="1" xfId="0" applyNumberFormat="1" applyFill="1" applyBorder="1" applyAlignment="1">
      <alignment vertical="center" wrapText="1"/>
    </xf>
    <xf numFmtId="0" fontId="0" fillId="3" borderId="3" xfId="0" applyFill="1" applyBorder="1" applyAlignment="1">
      <alignment horizontal="left" vertical="center"/>
    </xf>
    <xf numFmtId="0" fontId="3" fillId="0" borderId="4" xfId="1" applyBorder="1" applyAlignment="1">
      <alignment vertical="center" wrapText="1"/>
    </xf>
    <xf numFmtId="0" fontId="0" fillId="3" borderId="3" xfId="0" applyFill="1" applyBorder="1" applyAlignment="1">
      <alignment horizontal="left" vertical="center" wrapText="1"/>
    </xf>
    <xf numFmtId="9" fontId="0" fillId="0" borderId="1" xfId="2" applyFont="1" applyBorder="1" applyAlignment="1">
      <alignment horizontal="center" vertical="center" wrapText="1"/>
    </xf>
    <xf numFmtId="9" fontId="0" fillId="0" borderId="1" xfId="0" applyNumberFormat="1" applyBorder="1" applyAlignment="1">
      <alignment horizontal="center" vertical="center"/>
    </xf>
    <xf numFmtId="0" fontId="0" fillId="0" borderId="0" xfId="0" applyAlignment="1">
      <alignment wrapText="1"/>
    </xf>
    <xf numFmtId="9" fontId="0" fillId="0" borderId="1" xfId="0" applyNumberFormat="1" applyBorder="1" applyAlignment="1">
      <alignment horizontal="center" vertical="center" wrapText="1"/>
    </xf>
  </cellXfs>
  <cellStyles count="3">
    <cellStyle name="Hiperlink" xfId="1" builtinId="8"/>
    <cellStyle name="Normal" xfId="0" builtinId="0"/>
    <cellStyle name="Porcentagem"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detran.sp.gov.br/detransp?id=ver_norma&amp;sys_kb_id=f1b027a287107690bc19ea840cbb35f4" TargetMode="External"/><Relationship Id="rId13" Type="http://schemas.openxmlformats.org/officeDocument/2006/relationships/hyperlink" Target="https://www.detran.sp.gov.br/detransp?id=ver_norma&amp;sys_kb_id=b31eef2a87147690bc19ea840cbb352a" TargetMode="External"/><Relationship Id="rId18" Type="http://schemas.openxmlformats.org/officeDocument/2006/relationships/hyperlink" Target="https://www.detran.sp.gov.br/detransp?id=ver_norma&amp;sys_kb_id=09f0e64697dcba145db3b4a6f053af33" TargetMode="External"/><Relationship Id="rId3" Type="http://schemas.openxmlformats.org/officeDocument/2006/relationships/hyperlink" Target="https://www.detran.sp.gov.br/detransp?id=ver_norma&amp;sys_kb_id=2b182a168718b2d434a7c8840cbb3562" TargetMode="External"/><Relationship Id="rId7" Type="http://schemas.openxmlformats.org/officeDocument/2006/relationships/hyperlink" Target="https://www.detran.sp.gov.br/detransp?id=ver_norma&amp;sys_kb_id=a2fed7e687dc3690bc19ea840cbb3528" TargetMode="External"/><Relationship Id="rId12" Type="http://schemas.openxmlformats.org/officeDocument/2006/relationships/hyperlink" Target="https://www.detran.sp.gov.br/detransp?id=ver_norma&amp;sys_kb_id=b31eef2a87147690bc19ea840cbb352a" TargetMode="External"/><Relationship Id="rId17" Type="http://schemas.openxmlformats.org/officeDocument/2006/relationships/hyperlink" Target="https://www.detran.sp.gov.br/detransp?id=ver_norma&amp;sys_kb_id=b31eef2a87147690bc19ea840cbb352a" TargetMode="External"/><Relationship Id="rId2" Type="http://schemas.openxmlformats.org/officeDocument/2006/relationships/hyperlink" Target="https://www.detran.sp.gov.br/detransp/pb/regulacao/normas/portaria-normativa-detran-sp-n%C2%BA-1-de-20-de-mar%C3%A7o-de-2023?id=ver_norma&amp;sys_kb_id=298ae6de8718b2d434a7c8840cbb35cb" TargetMode="External"/><Relationship Id="rId16" Type="http://schemas.openxmlformats.org/officeDocument/2006/relationships/hyperlink" Target="https://www.detran.sp.gov.br/detransp/pb/regulacao/normas/decreto-n%C2%BA-68-347-de-29-de-fevereiro-de-2024?id=ver_norma&amp;sys_kb_id=48f4e36b3b9432501aaf0847f4e45a1f" TargetMode="External"/><Relationship Id="rId1" Type="http://schemas.openxmlformats.org/officeDocument/2006/relationships/hyperlink" Target="https://www.detran.sp.gov.br/detransp?id=ver_norma&amp;sys_kb_id=9f176a9e87d4b2d434a7c8840cbb355e" TargetMode="External"/><Relationship Id="rId6" Type="http://schemas.openxmlformats.org/officeDocument/2006/relationships/hyperlink" Target="https://www.detran.sp.gov.br/detransp?id=ver_norma&amp;sys_kb_id=826c97e6879c3690bc19ea840cbb35c2" TargetMode="External"/><Relationship Id="rId11" Type="http://schemas.openxmlformats.org/officeDocument/2006/relationships/hyperlink" Target="https://www.detran.sp.gov.br/detransp?id=ver_norma&amp;sys_kb_id=b31eef2a87147690bc19ea840cbb352a" TargetMode="External"/><Relationship Id="rId5" Type="http://schemas.openxmlformats.org/officeDocument/2006/relationships/hyperlink" Target="https://www.detran.sp.gov.br/detransp?id=ver_norma&amp;sys_kb_id=46221322471c7614f8000b54f26d4324" TargetMode="External"/><Relationship Id="rId15" Type="http://schemas.openxmlformats.org/officeDocument/2006/relationships/hyperlink" Target="https://www.detran.sp.gov.br/detransp?id=ver_norma&amp;sys_kb_id=b31eef2a87147690bc19ea840cbb352a" TargetMode="External"/><Relationship Id="rId10" Type="http://schemas.openxmlformats.org/officeDocument/2006/relationships/hyperlink" Target="https://www.detran.sp.gov.br/detransp?id=ver_norma&amp;sys_kb_id=65ccccf597543ad400b3b55ef053af23" TargetMode="External"/><Relationship Id="rId19" Type="http://schemas.openxmlformats.org/officeDocument/2006/relationships/printerSettings" Target="../printerSettings/printerSettings1.bin"/><Relationship Id="rId4" Type="http://schemas.openxmlformats.org/officeDocument/2006/relationships/hyperlink" Target="https://www.al.sp.gov.br/repositorio/legislacao/lei.complementar/2021/lei.complementar-1361-21.10.2021.html" TargetMode="External"/><Relationship Id="rId9" Type="http://schemas.openxmlformats.org/officeDocument/2006/relationships/hyperlink" Target="https://doe.sp.gov.br/executivo/decretos/decreto-n-69053-de-14-de-novembro-de-2024-20241114118202720093" TargetMode="External"/><Relationship Id="rId14" Type="http://schemas.openxmlformats.org/officeDocument/2006/relationships/hyperlink" Target="https://www.detran.sp.gov.br/detransp?id=ver_norma&amp;sys_kb_id=b31eef2a87147690bc19ea840cbb352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X33"/>
  <sheetViews>
    <sheetView showGridLines="0" tabSelected="1" zoomScale="85" zoomScaleNormal="85" workbookViewId="0">
      <pane ySplit="1" topLeftCell="A4" activePane="bottomLeft" state="frozen"/>
      <selection pane="bottomLeft" activeCell="B4" sqref="B4"/>
    </sheetView>
  </sheetViews>
  <sheetFormatPr defaultRowHeight="14.45"/>
  <cols>
    <col min="1" max="1" width="9.7109375" customWidth="1"/>
    <col min="2" max="2" width="25" style="29" customWidth="1"/>
    <col min="3" max="3" width="23.28515625" customWidth="1"/>
    <col min="4" max="4" width="17.28515625" customWidth="1"/>
    <col min="5" max="5" width="10.85546875" customWidth="1"/>
    <col min="6" max="6" width="18" customWidth="1"/>
    <col min="7" max="7" width="15" customWidth="1"/>
    <col min="8" max="8" width="40.5703125" customWidth="1"/>
    <col min="9" max="9" width="25.5703125" customWidth="1"/>
    <col min="10" max="10" width="40.5703125" customWidth="1"/>
    <col min="11" max="12" width="14" customWidth="1"/>
    <col min="13" max="13" width="15" customWidth="1"/>
    <col min="14" max="14" width="16.5703125" customWidth="1"/>
    <col min="15" max="16" width="17" customWidth="1"/>
    <col min="17" max="22" width="40.5703125" customWidth="1"/>
    <col min="23" max="23" width="50.5703125" customWidth="1"/>
    <col min="24" max="24" width="120.5703125" customWidth="1"/>
  </cols>
  <sheetData>
    <row r="1" spans="1:24" ht="27.95" customHeight="1">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2" t="s">
        <v>15</v>
      </c>
      <c r="Q1" s="13" t="s">
        <v>16</v>
      </c>
      <c r="R1" s="13" t="s">
        <v>17</v>
      </c>
      <c r="S1" s="13" t="s">
        <v>18</v>
      </c>
      <c r="T1" s="13" t="s">
        <v>19</v>
      </c>
      <c r="U1" s="13" t="s">
        <v>20</v>
      </c>
      <c r="V1" s="13" t="s">
        <v>21</v>
      </c>
      <c r="W1" s="13" t="s">
        <v>22</v>
      </c>
      <c r="X1" s="13" t="s">
        <v>23</v>
      </c>
    </row>
    <row r="2" spans="1:24" ht="409.5" hidden="1">
      <c r="A2" s="16" t="s">
        <v>24</v>
      </c>
      <c r="B2" s="17" t="s">
        <v>25</v>
      </c>
      <c r="C2" s="22"/>
      <c r="D2" s="19" t="s">
        <v>26</v>
      </c>
      <c r="E2" s="19" t="s">
        <v>27</v>
      </c>
      <c r="F2" s="19" t="s">
        <v>28</v>
      </c>
      <c r="G2" s="19" t="s">
        <v>28</v>
      </c>
      <c r="H2" s="17"/>
      <c r="I2" s="20"/>
      <c r="J2" s="21"/>
      <c r="K2" s="20">
        <v>100</v>
      </c>
      <c r="L2" s="20"/>
      <c r="M2" s="19"/>
      <c r="N2" s="19"/>
      <c r="O2" s="19"/>
      <c r="P2" s="19"/>
      <c r="Q2" s="22"/>
      <c r="R2" s="22"/>
      <c r="S2" s="22"/>
      <c r="T2" s="22"/>
      <c r="U2" s="22"/>
      <c r="V2" s="22"/>
      <c r="W2" s="23" t="s">
        <v>29</v>
      </c>
      <c r="X2" s="23" t="s">
        <v>30</v>
      </c>
    </row>
    <row r="3" spans="1:24" ht="246.6" hidden="1">
      <c r="A3" s="16" t="s">
        <v>31</v>
      </c>
      <c r="B3" s="17" t="s">
        <v>32</v>
      </c>
      <c r="C3" s="22"/>
      <c r="D3" s="19" t="s">
        <v>33</v>
      </c>
      <c r="E3" s="19" t="s">
        <v>34</v>
      </c>
      <c r="F3" s="19" t="s">
        <v>28</v>
      </c>
      <c r="G3" s="19" t="s">
        <v>28</v>
      </c>
      <c r="H3" s="17"/>
      <c r="I3" s="20"/>
      <c r="J3" s="21"/>
      <c r="K3" s="20">
        <v>100</v>
      </c>
      <c r="L3" s="20"/>
      <c r="M3" s="19"/>
      <c r="N3" s="19"/>
      <c r="O3" s="19"/>
      <c r="P3" s="19"/>
      <c r="Q3" s="22"/>
      <c r="R3" s="22"/>
      <c r="S3" s="22"/>
      <c r="T3" s="22"/>
      <c r="U3" s="22"/>
      <c r="V3" s="22"/>
      <c r="W3" s="23" t="s">
        <v>35</v>
      </c>
      <c r="X3" s="23" t="s">
        <v>36</v>
      </c>
    </row>
    <row r="4" spans="1:24" ht="217.5">
      <c r="A4" s="2" t="s">
        <v>37</v>
      </c>
      <c r="B4" s="2" t="s">
        <v>38</v>
      </c>
      <c r="C4" s="15" t="s">
        <v>39</v>
      </c>
      <c r="D4" s="7" t="s">
        <v>40</v>
      </c>
      <c r="E4" s="9" t="s">
        <v>34</v>
      </c>
      <c r="F4" s="9" t="s">
        <v>41</v>
      </c>
      <c r="G4" s="9" t="s">
        <v>42</v>
      </c>
      <c r="H4" s="14" t="s">
        <v>43</v>
      </c>
      <c r="I4" s="9" t="s">
        <v>44</v>
      </c>
      <c r="J4" s="14" t="s">
        <v>45</v>
      </c>
      <c r="K4" s="30">
        <v>0.75</v>
      </c>
      <c r="L4" s="27">
        <f ca="1">(TODAY()-M4)/(N4-M4)</f>
        <v>0.94355828220858895</v>
      </c>
      <c r="M4" s="10">
        <v>45555</v>
      </c>
      <c r="N4" s="10">
        <v>46370</v>
      </c>
      <c r="O4" s="10">
        <v>46475</v>
      </c>
      <c r="P4" s="10">
        <v>46321</v>
      </c>
      <c r="Q4" s="4"/>
      <c r="R4" s="3" t="s">
        <v>46</v>
      </c>
      <c r="S4" s="3"/>
      <c r="T4" s="3"/>
      <c r="U4" s="3" t="s">
        <v>47</v>
      </c>
      <c r="V4" s="3"/>
      <c r="W4" s="3" t="s">
        <v>48</v>
      </c>
      <c r="X4" s="3" t="s">
        <v>49</v>
      </c>
    </row>
    <row r="5" spans="1:24" ht="130.5" hidden="1">
      <c r="A5" s="16" t="s">
        <v>50</v>
      </c>
      <c r="B5" s="17" t="s">
        <v>51</v>
      </c>
      <c r="C5" s="18" t="s">
        <v>52</v>
      </c>
      <c r="D5" s="19"/>
      <c r="E5" s="19" t="s">
        <v>53</v>
      </c>
      <c r="F5" s="19" t="s">
        <v>28</v>
      </c>
      <c r="G5" s="19" t="s">
        <v>28</v>
      </c>
      <c r="H5" s="17"/>
      <c r="I5" s="20"/>
      <c r="J5" s="21"/>
      <c r="K5" s="20">
        <v>100</v>
      </c>
      <c r="L5" s="20"/>
      <c r="M5" s="19"/>
      <c r="N5" s="19"/>
      <c r="O5" s="19"/>
      <c r="P5" s="19"/>
      <c r="Q5" s="22"/>
      <c r="R5" s="22"/>
      <c r="S5" s="22"/>
      <c r="T5" s="22"/>
      <c r="U5" s="22"/>
      <c r="V5" s="22"/>
      <c r="W5" s="23" t="s">
        <v>54</v>
      </c>
      <c r="X5" s="23" t="s">
        <v>55</v>
      </c>
    </row>
    <row r="6" spans="1:24" ht="275.25">
      <c r="A6" s="2" t="s">
        <v>56</v>
      </c>
      <c r="B6" s="2" t="s">
        <v>57</v>
      </c>
      <c r="C6" s="5"/>
      <c r="D6" s="7" t="s">
        <v>33</v>
      </c>
      <c r="E6" s="7" t="s">
        <v>58</v>
      </c>
      <c r="F6" s="7" t="s">
        <v>41</v>
      </c>
      <c r="G6" s="7" t="s">
        <v>42</v>
      </c>
      <c r="H6" s="14" t="s">
        <v>59</v>
      </c>
      <c r="I6" s="9" t="s">
        <v>44</v>
      </c>
      <c r="J6" s="14" t="s">
        <v>60</v>
      </c>
      <c r="K6" s="28">
        <v>0.15</v>
      </c>
      <c r="L6" s="28">
        <v>0.36</v>
      </c>
      <c r="M6" s="8">
        <v>46210</v>
      </c>
      <c r="N6" s="8">
        <v>46461</v>
      </c>
      <c r="O6" s="8">
        <v>46461</v>
      </c>
      <c r="P6" s="8">
        <v>45958</v>
      </c>
      <c r="Q6" s="4" t="s">
        <v>61</v>
      </c>
      <c r="R6" s="3" t="s">
        <v>62</v>
      </c>
      <c r="S6" s="3"/>
      <c r="T6" s="6"/>
      <c r="U6" s="3"/>
      <c r="V6" s="3" t="s">
        <v>63</v>
      </c>
      <c r="W6" s="3" t="s">
        <v>64</v>
      </c>
      <c r="X6" s="3" t="s">
        <v>65</v>
      </c>
    </row>
    <row r="7" spans="1:24" ht="261" hidden="1">
      <c r="A7" s="16" t="s">
        <v>66</v>
      </c>
      <c r="B7" s="17" t="s">
        <v>67</v>
      </c>
      <c r="C7" s="18" t="s">
        <v>68</v>
      </c>
      <c r="D7" s="19" t="s">
        <v>69</v>
      </c>
      <c r="E7" s="19" t="s">
        <v>34</v>
      </c>
      <c r="F7" s="19" t="s">
        <v>28</v>
      </c>
      <c r="G7" s="19" t="s">
        <v>28</v>
      </c>
      <c r="H7" s="17"/>
      <c r="I7" s="20"/>
      <c r="J7" s="26"/>
      <c r="K7" s="20">
        <v>100</v>
      </c>
      <c r="L7" s="20"/>
      <c r="M7" s="19"/>
      <c r="N7" s="19"/>
      <c r="O7" s="19"/>
      <c r="P7" s="19"/>
      <c r="Q7" s="22"/>
      <c r="R7" s="22"/>
      <c r="S7" s="22"/>
      <c r="T7" s="22"/>
      <c r="U7" s="22"/>
      <c r="V7" s="22"/>
      <c r="W7" s="23" t="s">
        <v>70</v>
      </c>
      <c r="X7" s="23" t="s">
        <v>71</v>
      </c>
    </row>
    <row r="8" spans="1:24" ht="409.5" hidden="1">
      <c r="A8" s="16" t="s">
        <v>72</v>
      </c>
      <c r="B8" s="17" t="s">
        <v>73</v>
      </c>
      <c r="C8" s="18" t="s">
        <v>39</v>
      </c>
      <c r="D8" s="19"/>
      <c r="E8" s="19" t="s">
        <v>74</v>
      </c>
      <c r="F8" s="19" t="s">
        <v>28</v>
      </c>
      <c r="G8" s="19" t="s">
        <v>28</v>
      </c>
      <c r="H8" s="17"/>
      <c r="I8" s="20"/>
      <c r="J8" s="21"/>
      <c r="K8" s="20">
        <v>100</v>
      </c>
      <c r="L8" s="20"/>
      <c r="M8" s="19"/>
      <c r="N8" s="19"/>
      <c r="O8" s="19"/>
      <c r="P8" s="19"/>
      <c r="Q8" s="22"/>
      <c r="R8" s="22"/>
      <c r="S8" s="22"/>
      <c r="T8" s="22"/>
      <c r="U8" s="22"/>
      <c r="V8" s="22"/>
      <c r="W8" s="23" t="s">
        <v>75</v>
      </c>
      <c r="X8" s="23" t="s">
        <v>76</v>
      </c>
    </row>
    <row r="9" spans="1:24" ht="72.599999999999994" hidden="1">
      <c r="A9" s="16" t="s">
        <v>77</v>
      </c>
      <c r="B9" s="17" t="s">
        <v>78</v>
      </c>
      <c r="C9" s="18" t="s">
        <v>79</v>
      </c>
      <c r="D9" s="19"/>
      <c r="E9" s="19" t="s">
        <v>53</v>
      </c>
      <c r="F9" s="19" t="s">
        <v>28</v>
      </c>
      <c r="G9" s="19" t="s">
        <v>28</v>
      </c>
      <c r="H9" s="17"/>
      <c r="I9" s="20"/>
      <c r="J9" s="21"/>
      <c r="K9" s="20">
        <v>100</v>
      </c>
      <c r="L9" s="20"/>
      <c r="M9" s="19"/>
      <c r="N9" s="19"/>
      <c r="O9" s="19"/>
      <c r="P9" s="19"/>
      <c r="Q9" s="22"/>
      <c r="R9" s="22"/>
      <c r="S9" s="22"/>
      <c r="T9" s="22"/>
      <c r="U9" s="22"/>
      <c r="V9" s="22"/>
      <c r="W9" s="23" t="s">
        <v>80</v>
      </c>
      <c r="X9" s="23" t="s">
        <v>81</v>
      </c>
    </row>
    <row r="10" spans="1:24" ht="121.5">
      <c r="A10" s="2" t="s">
        <v>82</v>
      </c>
      <c r="B10" s="2" t="s">
        <v>83</v>
      </c>
      <c r="C10" s="15" t="s">
        <v>84</v>
      </c>
      <c r="D10" s="7" t="s">
        <v>85</v>
      </c>
      <c r="E10" s="9" t="s">
        <v>86</v>
      </c>
      <c r="F10" s="9" t="s">
        <v>41</v>
      </c>
      <c r="G10" s="9" t="s">
        <v>87</v>
      </c>
      <c r="H10" s="14" t="s">
        <v>88</v>
      </c>
      <c r="I10" s="9" t="s">
        <v>44</v>
      </c>
      <c r="J10" s="14" t="s">
        <v>89</v>
      </c>
      <c r="K10" s="30">
        <v>0.79</v>
      </c>
      <c r="L10" s="30">
        <v>1</v>
      </c>
      <c r="M10" s="10">
        <v>45407</v>
      </c>
      <c r="N10" s="10">
        <v>45838</v>
      </c>
      <c r="O10" s="10"/>
      <c r="P10" s="10">
        <v>46304</v>
      </c>
      <c r="Q10" s="4" t="s">
        <v>90</v>
      </c>
      <c r="R10" s="3"/>
      <c r="S10" s="3" t="s">
        <v>91</v>
      </c>
      <c r="T10" s="3"/>
      <c r="U10" s="3"/>
      <c r="V10" s="3" t="s">
        <v>92</v>
      </c>
      <c r="W10" s="3" t="s">
        <v>93</v>
      </c>
      <c r="X10" s="3" t="s">
        <v>94</v>
      </c>
    </row>
    <row r="11" spans="1:24" ht="29.1" hidden="1">
      <c r="A11" s="16" t="s">
        <v>95</v>
      </c>
      <c r="B11" s="17" t="s">
        <v>96</v>
      </c>
      <c r="C11" s="18" t="s">
        <v>97</v>
      </c>
      <c r="D11" s="19"/>
      <c r="E11" s="19" t="s">
        <v>98</v>
      </c>
      <c r="F11" s="19" t="s">
        <v>28</v>
      </c>
      <c r="G11" s="19" t="s">
        <v>28</v>
      </c>
      <c r="H11" s="17"/>
      <c r="I11" s="20"/>
      <c r="J11" s="21"/>
      <c r="K11" s="20">
        <v>100</v>
      </c>
      <c r="L11" s="20"/>
      <c r="M11" s="19"/>
      <c r="N11" s="19"/>
      <c r="O11" s="19"/>
      <c r="P11" s="19"/>
      <c r="Q11" s="22"/>
      <c r="R11" s="22"/>
      <c r="S11" s="22"/>
      <c r="T11" s="22"/>
      <c r="U11" s="22"/>
      <c r="V11" s="22"/>
      <c r="W11" s="23" t="s">
        <v>99</v>
      </c>
      <c r="X11" s="23" t="s">
        <v>100</v>
      </c>
    </row>
    <row r="12" spans="1:24" ht="183">
      <c r="A12" s="2" t="s">
        <v>101</v>
      </c>
      <c r="B12" s="2" t="s">
        <v>102</v>
      </c>
      <c r="C12" s="15" t="s">
        <v>103</v>
      </c>
      <c r="D12" s="7" t="s">
        <v>104</v>
      </c>
      <c r="E12" s="7" t="s">
        <v>105</v>
      </c>
      <c r="F12" s="7" t="s">
        <v>41</v>
      </c>
      <c r="G12" s="7" t="s">
        <v>87</v>
      </c>
      <c r="H12" s="14" t="s">
        <v>106</v>
      </c>
      <c r="I12" s="9" t="s">
        <v>44</v>
      </c>
      <c r="J12" s="14" t="s">
        <v>107</v>
      </c>
      <c r="K12" s="28">
        <v>0.53</v>
      </c>
      <c r="L12" s="30">
        <v>1</v>
      </c>
      <c r="M12" s="8">
        <v>45659</v>
      </c>
      <c r="N12" s="8">
        <v>46045</v>
      </c>
      <c r="O12" s="8"/>
      <c r="P12" s="8">
        <v>46304</v>
      </c>
      <c r="Q12" s="4" t="s">
        <v>108</v>
      </c>
      <c r="R12" s="3" t="s">
        <v>109</v>
      </c>
      <c r="S12" s="3" t="s">
        <v>110</v>
      </c>
      <c r="T12" s="6"/>
      <c r="U12" s="3" t="s">
        <v>111</v>
      </c>
      <c r="V12" s="3" t="s">
        <v>112</v>
      </c>
      <c r="W12" s="3" t="s">
        <v>113</v>
      </c>
      <c r="X12" s="3" t="s">
        <v>114</v>
      </c>
    </row>
    <row r="13" spans="1:24" ht="409.5" hidden="1">
      <c r="A13" s="16" t="s">
        <v>115</v>
      </c>
      <c r="B13" s="17" t="s">
        <v>116</v>
      </c>
      <c r="C13" s="22"/>
      <c r="D13" s="19"/>
      <c r="E13" s="19" t="s">
        <v>34</v>
      </c>
      <c r="F13" s="19" t="s">
        <v>28</v>
      </c>
      <c r="G13" s="19" t="s">
        <v>28</v>
      </c>
      <c r="H13" s="17"/>
      <c r="I13" s="20"/>
      <c r="J13" s="21"/>
      <c r="K13" s="20">
        <v>100</v>
      </c>
      <c r="L13" s="20"/>
      <c r="M13" s="19"/>
      <c r="N13" s="19"/>
      <c r="O13" s="19"/>
      <c r="P13" s="19"/>
      <c r="Q13" s="22"/>
      <c r="R13" s="22"/>
      <c r="S13" s="22"/>
      <c r="T13" s="22"/>
      <c r="U13" s="22"/>
      <c r="V13" s="22"/>
      <c r="W13" s="23" t="s">
        <v>117</v>
      </c>
      <c r="X13" s="23" t="s">
        <v>118</v>
      </c>
    </row>
    <row r="14" spans="1:24" ht="130.5" hidden="1">
      <c r="A14" s="16" t="s">
        <v>119</v>
      </c>
      <c r="B14" s="17" t="s">
        <v>120</v>
      </c>
      <c r="C14" s="18" t="s">
        <v>121</v>
      </c>
      <c r="D14" s="19" t="s">
        <v>122</v>
      </c>
      <c r="E14" s="19" t="s">
        <v>105</v>
      </c>
      <c r="F14" s="19" t="s">
        <v>28</v>
      </c>
      <c r="G14" s="19" t="s">
        <v>28</v>
      </c>
      <c r="H14" s="17"/>
      <c r="I14" s="20"/>
      <c r="J14" s="21"/>
      <c r="K14" s="20">
        <v>100</v>
      </c>
      <c r="L14" s="20"/>
      <c r="M14" s="19"/>
      <c r="N14" s="19"/>
      <c r="O14" s="19"/>
      <c r="P14" s="19"/>
      <c r="Q14" s="22"/>
      <c r="R14" s="22"/>
      <c r="S14" s="22"/>
      <c r="T14" s="22"/>
      <c r="U14" s="22"/>
      <c r="V14" s="22"/>
      <c r="W14" s="23" t="s">
        <v>123</v>
      </c>
      <c r="X14" s="23" t="s">
        <v>124</v>
      </c>
    </row>
    <row r="15" spans="1:24" ht="130.5" hidden="1">
      <c r="A15" s="16" t="s">
        <v>125</v>
      </c>
      <c r="B15" s="17" t="s">
        <v>126</v>
      </c>
      <c r="C15" s="22"/>
      <c r="D15" s="19"/>
      <c r="E15" s="19" t="s">
        <v>58</v>
      </c>
      <c r="F15" s="19" t="s">
        <v>28</v>
      </c>
      <c r="G15" s="19" t="s">
        <v>28</v>
      </c>
      <c r="H15" s="17"/>
      <c r="I15" s="20"/>
      <c r="J15" s="21"/>
      <c r="K15" s="20">
        <v>100</v>
      </c>
      <c r="L15" s="20"/>
      <c r="M15" s="19"/>
      <c r="N15" s="19"/>
      <c r="O15" s="19"/>
      <c r="P15" s="19"/>
      <c r="Q15" s="22"/>
      <c r="R15" s="22"/>
      <c r="S15" s="22"/>
      <c r="T15" s="22"/>
      <c r="U15" s="22"/>
      <c r="V15" s="22"/>
      <c r="W15" s="23" t="s">
        <v>127</v>
      </c>
      <c r="X15" s="23" t="s">
        <v>128</v>
      </c>
    </row>
    <row r="16" spans="1:24" ht="137.25">
      <c r="A16" s="2" t="s">
        <v>129</v>
      </c>
      <c r="B16" s="2" t="s">
        <v>130</v>
      </c>
      <c r="C16" s="5"/>
      <c r="D16" s="7" t="s">
        <v>131</v>
      </c>
      <c r="E16" s="7" t="s">
        <v>34</v>
      </c>
      <c r="F16" s="7" t="s">
        <v>41</v>
      </c>
      <c r="G16" s="7" t="s">
        <v>87</v>
      </c>
      <c r="H16" s="14" t="s">
        <v>132</v>
      </c>
      <c r="I16" s="9" t="s">
        <v>44</v>
      </c>
      <c r="J16" s="14" t="s">
        <v>133</v>
      </c>
      <c r="K16" s="28">
        <v>0.81</v>
      </c>
      <c r="L16" s="28">
        <v>0.82</v>
      </c>
      <c r="M16" s="8">
        <v>45938</v>
      </c>
      <c r="N16" s="8">
        <v>46383</v>
      </c>
      <c r="O16" s="8">
        <v>46365</v>
      </c>
      <c r="P16" s="8">
        <v>46321</v>
      </c>
      <c r="Q16" s="4" t="s">
        <v>134</v>
      </c>
      <c r="R16" s="4" t="s">
        <v>135</v>
      </c>
      <c r="S16" s="3" t="s">
        <v>136</v>
      </c>
      <c r="T16" s="6"/>
      <c r="U16" s="3" t="s">
        <v>137</v>
      </c>
      <c r="V16" s="3" t="s">
        <v>138</v>
      </c>
      <c r="W16" s="3" t="s">
        <v>139</v>
      </c>
      <c r="X16" s="3" t="s">
        <v>140</v>
      </c>
    </row>
    <row r="17" spans="1:24" ht="45.75">
      <c r="A17" s="2" t="s">
        <v>141</v>
      </c>
      <c r="B17" s="2" t="s">
        <v>142</v>
      </c>
      <c r="C17" s="5"/>
      <c r="D17" s="7" t="s">
        <v>143</v>
      </c>
      <c r="E17" s="7" t="s">
        <v>144</v>
      </c>
      <c r="F17" s="7" t="s">
        <v>41</v>
      </c>
      <c r="G17" s="7" t="s">
        <v>42</v>
      </c>
      <c r="H17" s="14" t="s">
        <v>145</v>
      </c>
      <c r="I17" s="9" t="s">
        <v>44</v>
      </c>
      <c r="J17" s="14" t="s">
        <v>146</v>
      </c>
      <c r="K17" s="28">
        <v>0.9</v>
      </c>
      <c r="L17" s="28">
        <v>0.9</v>
      </c>
      <c r="M17" s="8">
        <v>45901</v>
      </c>
      <c r="N17" s="8">
        <v>46351</v>
      </c>
      <c r="O17" s="8">
        <v>46373</v>
      </c>
      <c r="P17" s="8">
        <v>46317</v>
      </c>
      <c r="Q17" s="4" t="s">
        <v>147</v>
      </c>
      <c r="R17" s="3" t="s">
        <v>148</v>
      </c>
      <c r="S17" s="3"/>
      <c r="T17" s="6"/>
      <c r="U17" s="3" t="s">
        <v>149</v>
      </c>
      <c r="V17" s="3"/>
      <c r="W17" s="3" t="s">
        <v>150</v>
      </c>
      <c r="X17" s="3" t="s">
        <v>151</v>
      </c>
    </row>
    <row r="18" spans="1:24" ht="409.5" hidden="1">
      <c r="A18" s="16" t="s">
        <v>152</v>
      </c>
      <c r="B18" s="17" t="s">
        <v>153</v>
      </c>
      <c r="C18" s="22"/>
      <c r="D18" s="19" t="s">
        <v>154</v>
      </c>
      <c r="E18" s="19" t="s">
        <v>34</v>
      </c>
      <c r="F18" s="19" t="s">
        <v>28</v>
      </c>
      <c r="G18" s="19" t="s">
        <v>28</v>
      </c>
      <c r="H18" s="17"/>
      <c r="I18" s="20"/>
      <c r="J18" s="21"/>
      <c r="K18" s="20">
        <v>100</v>
      </c>
      <c r="L18" s="20"/>
      <c r="M18" s="19"/>
      <c r="N18" s="19"/>
      <c r="O18" s="19"/>
      <c r="P18" s="19"/>
      <c r="Q18" s="22"/>
      <c r="R18" s="22"/>
      <c r="S18" s="22"/>
      <c r="T18" s="22"/>
      <c r="U18" s="22"/>
      <c r="V18" s="22"/>
      <c r="W18" s="23" t="s">
        <v>155</v>
      </c>
      <c r="X18" s="23" t="s">
        <v>156</v>
      </c>
    </row>
    <row r="19" spans="1:24" ht="72.599999999999994" hidden="1">
      <c r="A19" s="16" t="s">
        <v>157</v>
      </c>
      <c r="B19" s="17" t="s">
        <v>158</v>
      </c>
      <c r="C19" s="18" t="s">
        <v>39</v>
      </c>
      <c r="D19" s="19"/>
      <c r="E19" s="19" t="s">
        <v>159</v>
      </c>
      <c r="F19" s="19" t="s">
        <v>28</v>
      </c>
      <c r="G19" s="19" t="s">
        <v>28</v>
      </c>
      <c r="H19" s="17"/>
      <c r="I19" s="20"/>
      <c r="J19" s="21"/>
      <c r="K19" s="20">
        <v>100</v>
      </c>
      <c r="L19" s="20"/>
      <c r="M19" s="19"/>
      <c r="N19" s="19"/>
      <c r="O19" s="19"/>
      <c r="P19" s="19"/>
      <c r="Q19" s="22"/>
      <c r="R19" s="22"/>
      <c r="S19" s="22"/>
      <c r="T19" s="22"/>
      <c r="U19" s="22"/>
      <c r="V19" s="22"/>
      <c r="W19" s="23" t="s">
        <v>160</v>
      </c>
      <c r="X19" s="23" t="s">
        <v>161</v>
      </c>
    </row>
    <row r="20" spans="1:24" ht="87" hidden="1">
      <c r="A20" s="16" t="s">
        <v>162</v>
      </c>
      <c r="B20" s="17" t="s">
        <v>163</v>
      </c>
      <c r="C20" s="18" t="s">
        <v>164</v>
      </c>
      <c r="D20" s="19"/>
      <c r="E20" s="19" t="s">
        <v>53</v>
      </c>
      <c r="F20" s="19" t="s">
        <v>28</v>
      </c>
      <c r="G20" s="19" t="s">
        <v>28</v>
      </c>
      <c r="H20" s="17"/>
      <c r="I20" s="20"/>
      <c r="J20" s="21"/>
      <c r="K20" s="20">
        <v>100</v>
      </c>
      <c r="L20" s="20"/>
      <c r="M20" s="19"/>
      <c r="N20" s="19"/>
      <c r="O20" s="19"/>
      <c r="P20" s="19"/>
      <c r="Q20" s="22"/>
      <c r="R20" s="22"/>
      <c r="S20" s="22"/>
      <c r="T20" s="22"/>
      <c r="U20" s="22"/>
      <c r="V20" s="22"/>
      <c r="W20" s="23" t="s">
        <v>165</v>
      </c>
      <c r="X20" s="23" t="s">
        <v>166</v>
      </c>
    </row>
    <row r="21" spans="1:24" ht="101.45" hidden="1">
      <c r="A21" s="16" t="s">
        <v>167</v>
      </c>
      <c r="B21" s="17" t="s">
        <v>168</v>
      </c>
      <c r="C21" s="18" t="s">
        <v>39</v>
      </c>
      <c r="D21" s="19"/>
      <c r="E21" s="19" t="s">
        <v>98</v>
      </c>
      <c r="F21" s="19" t="s">
        <v>28</v>
      </c>
      <c r="G21" s="19" t="s">
        <v>28</v>
      </c>
      <c r="H21" s="17"/>
      <c r="I21" s="20"/>
      <c r="J21" s="21"/>
      <c r="K21" s="20">
        <v>100</v>
      </c>
      <c r="L21" s="20"/>
      <c r="M21" s="19"/>
      <c r="N21" s="19"/>
      <c r="O21" s="19"/>
      <c r="P21" s="19"/>
      <c r="Q21" s="22"/>
      <c r="R21" s="22"/>
      <c r="S21" s="22"/>
      <c r="T21" s="22"/>
      <c r="U21" s="22"/>
      <c r="V21" s="22"/>
      <c r="W21" s="23" t="s">
        <v>169</v>
      </c>
      <c r="X21" s="23" t="s">
        <v>170</v>
      </c>
    </row>
    <row r="22" spans="1:24" ht="183">
      <c r="A22" s="2" t="s">
        <v>171</v>
      </c>
      <c r="B22" s="2" t="s">
        <v>172</v>
      </c>
      <c r="C22" s="25" t="s">
        <v>39</v>
      </c>
      <c r="D22" s="7" t="s">
        <v>131</v>
      </c>
      <c r="E22" s="7" t="s">
        <v>173</v>
      </c>
      <c r="F22" s="7" t="s">
        <v>41</v>
      </c>
      <c r="G22" s="7" t="s">
        <v>42</v>
      </c>
      <c r="H22" s="14" t="s">
        <v>174</v>
      </c>
      <c r="I22" s="9" t="s">
        <v>44</v>
      </c>
      <c r="J22" s="14" t="s">
        <v>175</v>
      </c>
      <c r="K22" s="28">
        <v>0.95</v>
      </c>
      <c r="L22" s="28">
        <v>1</v>
      </c>
      <c r="M22" s="8">
        <v>45988</v>
      </c>
      <c r="N22" s="8">
        <v>46204</v>
      </c>
      <c r="O22" s="8">
        <v>46379</v>
      </c>
      <c r="P22" s="8">
        <v>46321</v>
      </c>
      <c r="Q22" s="14" t="s">
        <v>176</v>
      </c>
      <c r="R22" s="3" t="s">
        <v>177</v>
      </c>
      <c r="S22" s="3"/>
      <c r="T22" s="6"/>
      <c r="U22" s="3"/>
      <c r="V22" s="3"/>
      <c r="W22" s="3" t="s">
        <v>178</v>
      </c>
      <c r="X22" s="3" t="s">
        <v>179</v>
      </c>
    </row>
    <row r="23" spans="1:24" ht="275.25">
      <c r="A23" s="2" t="s">
        <v>180</v>
      </c>
      <c r="B23" s="2" t="s">
        <v>181</v>
      </c>
      <c r="C23" s="5"/>
      <c r="D23" s="7" t="s">
        <v>182</v>
      </c>
      <c r="E23" s="7" t="s">
        <v>98</v>
      </c>
      <c r="F23" s="7" t="s">
        <v>41</v>
      </c>
      <c r="G23" s="7" t="s">
        <v>87</v>
      </c>
      <c r="H23" s="14" t="s">
        <v>183</v>
      </c>
      <c r="I23" s="9" t="s">
        <v>44</v>
      </c>
      <c r="J23" s="14" t="s">
        <v>184</v>
      </c>
      <c r="K23" s="28">
        <v>0.5</v>
      </c>
      <c r="L23" s="28">
        <v>1</v>
      </c>
      <c r="M23" s="8">
        <v>46111</v>
      </c>
      <c r="N23" s="8">
        <v>46187</v>
      </c>
      <c r="O23" s="7"/>
      <c r="P23" s="8">
        <v>46324</v>
      </c>
      <c r="Q23" s="4" t="s">
        <v>185</v>
      </c>
      <c r="R23" s="3" t="s">
        <v>186</v>
      </c>
      <c r="S23" s="3" t="s">
        <v>187</v>
      </c>
      <c r="T23" s="3" t="s">
        <v>188</v>
      </c>
      <c r="U23" s="3"/>
      <c r="V23" s="3" t="s">
        <v>189</v>
      </c>
      <c r="W23" s="3" t="s">
        <v>190</v>
      </c>
      <c r="X23" s="3" t="s">
        <v>191</v>
      </c>
    </row>
    <row r="24" spans="1:24" ht="72.599999999999994" hidden="1">
      <c r="A24" s="16" t="s">
        <v>192</v>
      </c>
      <c r="B24" s="17" t="s">
        <v>193</v>
      </c>
      <c r="C24" s="18" t="s">
        <v>194</v>
      </c>
      <c r="D24" s="19"/>
      <c r="E24" s="19" t="s">
        <v>195</v>
      </c>
      <c r="F24" s="19" t="s">
        <v>28</v>
      </c>
      <c r="G24" s="19" t="s">
        <v>28</v>
      </c>
      <c r="H24" s="17"/>
      <c r="I24" s="20"/>
      <c r="J24" s="21"/>
      <c r="K24" s="20">
        <v>100</v>
      </c>
      <c r="L24" s="20"/>
      <c r="M24" s="19"/>
      <c r="N24" s="19"/>
      <c r="O24" s="19"/>
      <c r="P24" s="19"/>
      <c r="Q24" s="22"/>
      <c r="R24" s="22"/>
      <c r="S24" s="22"/>
      <c r="T24" s="22"/>
      <c r="U24" s="22"/>
      <c r="V24" s="22"/>
      <c r="W24" s="23" t="s">
        <v>196</v>
      </c>
      <c r="X24" s="23" t="s">
        <v>197</v>
      </c>
    </row>
    <row r="25" spans="1:24" ht="57.95" hidden="1">
      <c r="A25" s="16" t="s">
        <v>198</v>
      </c>
      <c r="B25" s="17" t="s">
        <v>199</v>
      </c>
      <c r="C25" s="18" t="s">
        <v>200</v>
      </c>
      <c r="D25" s="19"/>
      <c r="E25" s="19" t="s">
        <v>53</v>
      </c>
      <c r="F25" s="19" t="s">
        <v>28</v>
      </c>
      <c r="G25" s="19" t="s">
        <v>28</v>
      </c>
      <c r="H25" s="17"/>
      <c r="I25" s="20"/>
      <c r="J25" s="21"/>
      <c r="K25" s="20">
        <v>100</v>
      </c>
      <c r="L25" s="20"/>
      <c r="M25" s="19"/>
      <c r="N25" s="19"/>
      <c r="O25" s="19"/>
      <c r="P25" s="19"/>
      <c r="Q25" s="22"/>
      <c r="R25" s="22"/>
      <c r="S25" s="22"/>
      <c r="T25" s="22"/>
      <c r="U25" s="22"/>
      <c r="V25" s="22"/>
      <c r="W25" s="23" t="s">
        <v>201</v>
      </c>
      <c r="X25" s="23" t="s">
        <v>202</v>
      </c>
    </row>
    <row r="26" spans="1:24" ht="275.25">
      <c r="A26" s="2" t="s">
        <v>203</v>
      </c>
      <c r="B26" s="2" t="s">
        <v>204</v>
      </c>
      <c r="C26" s="5"/>
      <c r="D26" s="7" t="s">
        <v>205</v>
      </c>
      <c r="E26" s="7" t="s">
        <v>58</v>
      </c>
      <c r="F26" s="7" t="s">
        <v>41</v>
      </c>
      <c r="G26" s="7" t="s">
        <v>87</v>
      </c>
      <c r="H26" s="14" t="s">
        <v>206</v>
      </c>
      <c r="I26" s="9" t="s">
        <v>44</v>
      </c>
      <c r="J26" s="14" t="s">
        <v>207</v>
      </c>
      <c r="K26" s="28">
        <v>0.99</v>
      </c>
      <c r="L26" s="28">
        <v>1</v>
      </c>
      <c r="M26" s="8">
        <v>46042</v>
      </c>
      <c r="N26" s="8">
        <v>46295</v>
      </c>
      <c r="O26" s="8">
        <v>46356</v>
      </c>
      <c r="P26" s="8">
        <v>46323</v>
      </c>
      <c r="Q26" s="14" t="s">
        <v>207</v>
      </c>
      <c r="R26" s="14" t="s">
        <v>208</v>
      </c>
      <c r="S26" s="3" t="s">
        <v>209</v>
      </c>
      <c r="T26" s="6"/>
      <c r="U26" s="3"/>
      <c r="V26" s="3" t="s">
        <v>210</v>
      </c>
      <c r="W26" s="3" t="s">
        <v>211</v>
      </c>
      <c r="X26" s="3" t="s">
        <v>212</v>
      </c>
    </row>
    <row r="27" spans="1:24" ht="152.25">
      <c r="A27" s="2" t="s">
        <v>213</v>
      </c>
      <c r="B27" s="2" t="s">
        <v>214</v>
      </c>
      <c r="C27" s="15" t="s">
        <v>215</v>
      </c>
      <c r="D27" s="7" t="s">
        <v>216</v>
      </c>
      <c r="E27" s="9" t="s">
        <v>86</v>
      </c>
      <c r="F27" s="9" t="s">
        <v>41</v>
      </c>
      <c r="G27" s="9" t="s">
        <v>87</v>
      </c>
      <c r="H27" s="14" t="s">
        <v>217</v>
      </c>
      <c r="I27" s="9" t="s">
        <v>44</v>
      </c>
      <c r="J27" s="14" t="s">
        <v>218</v>
      </c>
      <c r="K27" s="30">
        <v>0.92</v>
      </c>
      <c r="L27" s="30">
        <v>1</v>
      </c>
      <c r="M27" s="10">
        <v>45511</v>
      </c>
      <c r="N27" s="10">
        <v>45699</v>
      </c>
      <c r="O27" s="10">
        <v>46421</v>
      </c>
      <c r="P27" s="10">
        <v>46303</v>
      </c>
      <c r="Q27" s="4" t="s">
        <v>219</v>
      </c>
      <c r="R27" s="3" t="s">
        <v>220</v>
      </c>
      <c r="S27" s="3" t="s">
        <v>221</v>
      </c>
      <c r="T27" s="3"/>
      <c r="U27" s="3" t="s">
        <v>222</v>
      </c>
      <c r="V27" s="3"/>
      <c r="W27" s="3" t="s">
        <v>223</v>
      </c>
      <c r="X27" s="3" t="s">
        <v>224</v>
      </c>
    </row>
    <row r="28" spans="1:24" ht="87" hidden="1">
      <c r="A28" s="16" t="s">
        <v>225</v>
      </c>
      <c r="B28" s="24" t="s">
        <v>226</v>
      </c>
      <c r="C28" s="18" t="s">
        <v>227</v>
      </c>
      <c r="D28" s="19"/>
      <c r="E28" s="19" t="s">
        <v>58</v>
      </c>
      <c r="F28" s="19" t="s">
        <v>28</v>
      </c>
      <c r="G28" s="19" t="s">
        <v>28</v>
      </c>
      <c r="H28" s="17"/>
      <c r="I28" s="20"/>
      <c r="J28" s="21"/>
      <c r="K28" s="20">
        <v>100</v>
      </c>
      <c r="L28" s="20"/>
      <c r="M28" s="19"/>
      <c r="N28" s="19"/>
      <c r="O28" s="19"/>
      <c r="P28" s="19"/>
      <c r="Q28" s="22"/>
      <c r="R28" s="22"/>
      <c r="S28" s="22"/>
      <c r="T28" s="22"/>
      <c r="U28" s="22"/>
      <c r="V28" s="22"/>
      <c r="W28" s="23" t="s">
        <v>228</v>
      </c>
      <c r="X28" s="23" t="s">
        <v>229</v>
      </c>
    </row>
    <row r="29" spans="1:24" ht="101.45" hidden="1">
      <c r="A29" s="16" t="s">
        <v>230</v>
      </c>
      <c r="B29" s="17" t="s">
        <v>231</v>
      </c>
      <c r="C29" s="18" t="s">
        <v>232</v>
      </c>
      <c r="D29" s="19"/>
      <c r="E29" s="19" t="s">
        <v>233</v>
      </c>
      <c r="F29" s="19" t="s">
        <v>28</v>
      </c>
      <c r="G29" s="19" t="s">
        <v>28</v>
      </c>
      <c r="H29" s="17"/>
      <c r="I29" s="20"/>
      <c r="J29" s="21"/>
      <c r="K29" s="20">
        <v>100</v>
      </c>
      <c r="L29" s="20"/>
      <c r="M29" s="19"/>
      <c r="N29" s="19"/>
      <c r="O29" s="19"/>
      <c r="P29" s="19"/>
      <c r="Q29" s="22"/>
      <c r="R29" s="22"/>
      <c r="S29" s="22"/>
      <c r="T29" s="22"/>
      <c r="U29" s="22"/>
      <c r="V29" s="22"/>
      <c r="W29" s="23" t="s">
        <v>234</v>
      </c>
      <c r="X29" s="23" t="s">
        <v>235</v>
      </c>
    </row>
    <row r="30" spans="1:24" ht="57.95" hidden="1">
      <c r="A30" s="16" t="s">
        <v>236</v>
      </c>
      <c r="B30" s="17" t="s">
        <v>237</v>
      </c>
      <c r="C30" s="18" t="s">
        <v>39</v>
      </c>
      <c r="D30" s="19"/>
      <c r="E30" s="19" t="s">
        <v>173</v>
      </c>
      <c r="F30" s="19" t="s">
        <v>28</v>
      </c>
      <c r="G30" s="19" t="s">
        <v>28</v>
      </c>
      <c r="H30" s="17"/>
      <c r="I30" s="20"/>
      <c r="J30" s="21"/>
      <c r="K30" s="20">
        <v>100</v>
      </c>
      <c r="L30" s="20"/>
      <c r="M30" s="19"/>
      <c r="N30" s="19"/>
      <c r="O30" s="19"/>
      <c r="P30" s="19"/>
      <c r="Q30" s="22"/>
      <c r="R30" s="22"/>
      <c r="S30" s="22"/>
      <c r="T30" s="22"/>
      <c r="U30" s="22"/>
      <c r="V30" s="22"/>
      <c r="W30" s="23" t="s">
        <v>238</v>
      </c>
      <c r="X30" s="23" t="s">
        <v>239</v>
      </c>
    </row>
    <row r="31" spans="1:24" ht="57.95" hidden="1">
      <c r="A31" s="16" t="s">
        <v>240</v>
      </c>
      <c r="B31" s="17" t="s">
        <v>241</v>
      </c>
      <c r="C31" s="22"/>
      <c r="D31" s="19" t="s">
        <v>242</v>
      </c>
      <c r="E31" s="19" t="s">
        <v>144</v>
      </c>
      <c r="F31" s="19" t="s">
        <v>28</v>
      </c>
      <c r="G31" s="19" t="s">
        <v>28</v>
      </c>
      <c r="H31" s="17"/>
      <c r="I31" s="20"/>
      <c r="J31" s="21"/>
      <c r="K31" s="20">
        <v>100</v>
      </c>
      <c r="L31" s="20"/>
      <c r="M31" s="19"/>
      <c r="N31" s="19"/>
      <c r="O31" s="19"/>
      <c r="P31" s="19"/>
      <c r="Q31" s="22"/>
      <c r="R31" s="22"/>
      <c r="S31" s="22"/>
      <c r="T31" s="22"/>
      <c r="U31" s="22"/>
      <c r="V31" s="22"/>
      <c r="W31" s="23" t="s">
        <v>243</v>
      </c>
      <c r="X31" s="23" t="s">
        <v>244</v>
      </c>
    </row>
    <row r="32" spans="1:24" ht="87" hidden="1">
      <c r="A32" s="16" t="s">
        <v>245</v>
      </c>
      <c r="B32" s="17" t="s">
        <v>246</v>
      </c>
      <c r="C32" s="22"/>
      <c r="D32" s="19" t="s">
        <v>33</v>
      </c>
      <c r="E32" s="19" t="s">
        <v>247</v>
      </c>
      <c r="F32" s="19" t="s">
        <v>28</v>
      </c>
      <c r="G32" s="19" t="s">
        <v>28</v>
      </c>
      <c r="H32" s="17"/>
      <c r="I32" s="20"/>
      <c r="J32" s="21"/>
      <c r="K32" s="20">
        <v>100</v>
      </c>
      <c r="L32" s="20"/>
      <c r="M32" s="19"/>
      <c r="N32" s="19"/>
      <c r="O32" s="19"/>
      <c r="P32" s="19"/>
      <c r="Q32" s="22"/>
      <c r="R32" s="22"/>
      <c r="S32" s="22"/>
      <c r="T32" s="22"/>
      <c r="U32" s="22"/>
      <c r="V32" s="22"/>
      <c r="W32" s="23" t="s">
        <v>248</v>
      </c>
      <c r="X32" s="23" t="s">
        <v>249</v>
      </c>
    </row>
    <row r="33" spans="1:24" ht="130.5" hidden="1">
      <c r="A33" s="16" t="s">
        <v>250</v>
      </c>
      <c r="B33" s="17" t="s">
        <v>251</v>
      </c>
      <c r="C33" s="22"/>
      <c r="D33" s="19" t="s">
        <v>252</v>
      </c>
      <c r="E33" s="19" t="s">
        <v>86</v>
      </c>
      <c r="F33" s="19" t="s">
        <v>28</v>
      </c>
      <c r="G33" s="19" t="s">
        <v>28</v>
      </c>
      <c r="H33" s="17"/>
      <c r="I33" s="20"/>
      <c r="J33" s="21"/>
      <c r="K33" s="20">
        <v>100</v>
      </c>
      <c r="L33" s="20"/>
      <c r="M33" s="19"/>
      <c r="N33" s="19"/>
      <c r="O33" s="19"/>
      <c r="P33" s="19"/>
      <c r="Q33" s="22"/>
      <c r="R33" s="22"/>
      <c r="S33" s="22"/>
      <c r="T33" s="22"/>
      <c r="U33" s="22"/>
      <c r="V33" s="22"/>
      <c r="W33" s="23" t="s">
        <v>253</v>
      </c>
      <c r="X33" s="23" t="s">
        <v>254</v>
      </c>
    </row>
  </sheetData>
  <autoFilter ref="A1:X33" xr:uid="{00000000-0001-0000-0100-000000000000}">
    <filterColumn colId="5">
      <filters>
        <filter val="Em andamento"/>
      </filters>
    </filterColumn>
    <sortState xmlns:xlrd2="http://schemas.microsoft.com/office/spreadsheetml/2017/richdata2" ref="A2:X33">
      <sortCondition ref="B1:B33"/>
    </sortState>
  </autoFilter>
  <phoneticPr fontId="1" type="noConversion"/>
  <hyperlinks>
    <hyperlink ref="C9" r:id="rId1" display="https://www.detran.sp.gov.br/detransp?id=ver_norma&amp;sys_kb_id=9f176a9e87d4b2d434a7c8840cbb355e" xr:uid="{D79240FC-BF31-4540-8E8B-37A1E8FCED1C}"/>
    <hyperlink ref="C11" r:id="rId2" display="https://www.detran.sp.gov.br/detransp/pb/regulacao/normas/portaria-normativa-detran-sp-n%C2%BA-1-de-20-de-mar%C3%A7o-de-2023?id=ver_norma&amp;sys_kb_id=298ae6de8718b2d434a7c8840cbb35cb" xr:uid="{D4340E15-B784-4FF5-B32E-0FCA8B3FA484}"/>
    <hyperlink ref="C20" r:id="rId3" display="https://www.detran.sp.gov.br/detransp?id=ver_norma&amp;sys_kb_id=2b182a168718b2d434a7c8840cbb3562" xr:uid="{E6FD3251-2445-410D-875D-2B466D4FF5BD}"/>
    <hyperlink ref="C5" r:id="rId4" display="https://www.al.sp.gov.br/repositorio/legislacao/lei.complementar/2021/lei.complementar-1361-21.10.2021.html" xr:uid="{70E8D4E1-70DC-4704-B34F-37D55A68DDDE}"/>
    <hyperlink ref="C10" r:id="rId5" display="https://www.detran.sp.gov.br/detransp?id=ver_norma&amp;sys_kb_id=46221322471c7614f8000b54f26d4324" xr:uid="{75A86CE3-9906-40CF-978F-C67834022BB9}"/>
    <hyperlink ref="C29" r:id="rId6" display="https://www.detran.sp.gov.br/detransp?id=ver_norma&amp;sys_kb_id=826c97e6879c3690bc19ea840cbb35c2" xr:uid="{4F07292F-3FE8-42B0-B6CD-69B2EB19D6F4}"/>
    <hyperlink ref="C7" r:id="rId7" display="https://www.detran.sp.gov.br/detransp?id=ver_norma&amp;sys_kb_id=a2fed7e687dc3690bc19ea840cbb3528" xr:uid="{9F445065-2B6E-4292-83AC-AEAD9DC41ABF}"/>
    <hyperlink ref="C27" r:id="rId8" display="https://www.detran.sp.gov.br/detransp?id=ver_norma&amp;sys_kb_id=f1b027a287107690bc19ea840cbb35f4" xr:uid="{615DFD73-D63A-4B10-B2B0-0D055F86F588}"/>
    <hyperlink ref="C25" r:id="rId9" display="https://doe.sp.gov.br/executivo/decretos/decreto-n-69053-de-14-de-novembro-de-2024-20241114118202720093" xr:uid="{F4FD03CD-FFC5-4276-925C-158FC564465E}"/>
    <hyperlink ref="C12" r:id="rId10" display="https://www.detran.sp.gov.br/detransp?id=ver_norma&amp;sys_kb_id=65ccccf597543ad400b3b55ef053af23" xr:uid="{4744191C-1687-40B7-9D2C-3909C7F8B057}"/>
    <hyperlink ref="C19" r:id="rId11" display="https://www.detran.sp.gov.br/detransp?id=ver_norma&amp;sys_kb_id=b31eef2a87147690bc19ea840cbb352a" xr:uid="{BBE997A9-5DE5-4647-90FC-FAE593ED1233}"/>
    <hyperlink ref="C30" r:id="rId12" display="https://www.detran.sp.gov.br/detransp?id=ver_norma&amp;sys_kb_id=b31eef2a87147690bc19ea840cbb352a" xr:uid="{44E65426-C3CD-405F-AC3B-5E68BBC3F50F}"/>
    <hyperlink ref="C22" r:id="rId13" display="https://www.detran.sp.gov.br/detransp?id=ver_norma&amp;sys_kb_id=b31eef2a87147690bc19ea840cbb352a" xr:uid="{10DA6FA3-4706-49C9-AE5F-34C5EBF242C7}"/>
    <hyperlink ref="C8" r:id="rId14" display="https://www.detran.sp.gov.br/detransp?id=ver_norma&amp;sys_kb_id=b31eef2a87147690bc19ea840cbb352a" xr:uid="{587FE85B-9654-4881-8170-157563EF79D8}"/>
    <hyperlink ref="C21" r:id="rId15" display="https://www.detran.sp.gov.br/detransp?id=ver_norma&amp;sys_kb_id=b31eef2a87147690bc19ea840cbb352a" xr:uid="{BA244310-00E7-4148-9902-362A8FB194FA}"/>
    <hyperlink ref="C28" r:id="rId16" display="https://www.detran.sp.gov.br/detransp/pb/regulacao/normas/decreto-n%C2%BA-68-347-de-29-de-fevereiro-de-2024?id=ver_norma&amp;sys_kb_id=48f4e36b3b9432501aaf0847f4e45a1f" xr:uid="{AABF2F15-B2D2-4A99-84D3-F29FFBB9A6EE}"/>
    <hyperlink ref="C4" r:id="rId17" display="https://www.detran.sp.gov.br/detransp?id=ver_norma&amp;sys_kb_id=b31eef2a87147690bc19ea840cbb352a" xr:uid="{C86C679F-B17B-4050-905E-A9CDFDAC49BB}"/>
    <hyperlink ref="C24" r:id="rId18" display="https://www.detran.sp.gov.br/detransp?id=ver_norma&amp;sys_kb_id=09f0e64697dcba145db3b4a6f053af33" xr:uid="{083B43A2-E954-487E-9138-61E228DFFFC6}"/>
  </hyperlinks>
  <pageMargins left="0.75" right="0.75" top="1" bottom="1" header="0.5" footer="0.5"/>
  <pageSetup paperSize="9" orientation="portrait" horizontalDpi="300" verticalDpi="300" r:id="rId19"/>
  <extLst>
    <ext xmlns:x14="http://schemas.microsoft.com/office/spreadsheetml/2009/9/main" uri="{CCE6A557-97BC-4b89-ADB6-D9C93CAAB3DF}">
      <x14:dataValidations xmlns:xm="http://schemas.microsoft.com/office/excel/2006/main" count="8">
        <x14:dataValidation type="list" allowBlank="1" xr:uid="{00000000-0002-0000-0100-000005000000}">
          <x14:formula1>
            <xm:f>Listas!$F$2:$F$4</xm:f>
          </x14:formula1>
          <xm:sqref>E4 E31:E922</xm:sqref>
        </x14:dataValidation>
        <x14:dataValidation type="list" allowBlank="1" xr:uid="{00000000-0002-0000-0100-000002000000}">
          <x14:formula1>
            <xm:f>Listas!$C$2:$C$5</xm:f>
          </x14:formula1>
          <xm:sqref>D30:D922</xm:sqref>
        </x14:dataValidation>
        <x14:dataValidation type="list" allowBlank="1" xr:uid="{00000000-0002-0000-0100-000004000000}">
          <x14:formula1>
            <xm:f>Listas!$E$2:$E$4</xm:f>
          </x14:formula1>
          <xm:sqref>D30:D922</xm:sqref>
        </x14:dataValidation>
        <x14:dataValidation type="list" allowBlank="1" xr:uid="{00000000-0002-0000-0100-000001000000}">
          <x14:formula1>
            <xm:f>Listas!$B$2:$B$4</xm:f>
          </x14:formula1>
          <xm:sqref>G34:J922</xm:sqref>
        </x14:dataValidation>
        <x14:dataValidation type="list" allowBlank="1" xr:uid="{00000000-0002-0000-0100-000000000000}">
          <x14:formula1>
            <xm:f>Listas!$A$2:$A$7</xm:f>
          </x14:formula1>
          <xm:sqref>F2:F922</xm:sqref>
        </x14:dataValidation>
        <x14:dataValidation type="list" allowBlank="1" xr:uid="{00000000-0002-0000-0100-000003000000}">
          <x14:formula1>
            <xm:f>Listas!$D$2:$D$5</xm:f>
          </x14:formula1>
          <xm:sqref>F2:F922</xm:sqref>
        </x14:dataValidation>
        <x14:dataValidation type="list" allowBlank="1" xr:uid="{00000000-0002-0000-0100-000006000000}">
          <x14:formula1>
            <xm:f>Listas!$G$2:$G$5</xm:f>
          </x14:formula1>
          <xm:sqref>F2:F922</xm:sqref>
        </x14:dataValidation>
        <x14:dataValidation type="list" allowBlank="1" xr:uid="{DC248A56-7EFC-48CF-9C50-257C270652E6}">
          <x14:formula1>
            <xm:f>Listas!$B$2:$B$5</xm:f>
          </x14:formula1>
          <xm:sqref>J9:J33 J2:J5 G2:I33 Q26:R26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7"/>
  <sheetViews>
    <sheetView showGridLines="0" workbookViewId="0">
      <selection activeCell="E9" sqref="E9:E10"/>
    </sheetView>
  </sheetViews>
  <sheetFormatPr defaultRowHeight="14.45"/>
  <cols>
    <col min="1" max="7" width="10.5703125" customWidth="1"/>
  </cols>
  <sheetData>
    <row r="1" spans="1:7" ht="29.1">
      <c r="A1" s="1" t="s">
        <v>5</v>
      </c>
      <c r="B1" s="1" t="s">
        <v>6</v>
      </c>
      <c r="C1" s="1" t="s">
        <v>255</v>
      </c>
      <c r="D1" s="1" t="s">
        <v>256</v>
      </c>
      <c r="E1" s="1" t="s">
        <v>257</v>
      </c>
      <c r="F1" s="1" t="s">
        <v>258</v>
      </c>
      <c r="G1" s="1" t="s">
        <v>259</v>
      </c>
    </row>
    <row r="2" spans="1:7" ht="29.1">
      <c r="A2" s="1" t="s">
        <v>260</v>
      </c>
      <c r="B2" s="1" t="s">
        <v>42</v>
      </c>
      <c r="C2" s="1" t="s">
        <v>261</v>
      </c>
      <c r="D2" s="1" t="s">
        <v>262</v>
      </c>
      <c r="E2" s="1" t="s">
        <v>263</v>
      </c>
      <c r="F2" s="1" t="s">
        <v>264</v>
      </c>
      <c r="G2" s="1" t="s">
        <v>265</v>
      </c>
    </row>
    <row r="3" spans="1:7" ht="43.5">
      <c r="A3" s="1" t="s">
        <v>266</v>
      </c>
      <c r="B3" s="1" t="s">
        <v>87</v>
      </c>
      <c r="C3" s="1" t="s">
        <v>41</v>
      </c>
      <c r="D3" s="1" t="s">
        <v>41</v>
      </c>
      <c r="E3" s="1" t="s">
        <v>267</v>
      </c>
      <c r="F3" s="1" t="s">
        <v>268</v>
      </c>
      <c r="G3" s="1" t="s">
        <v>269</v>
      </c>
    </row>
    <row r="4" spans="1:7" ht="29.1">
      <c r="A4" s="1" t="s">
        <v>41</v>
      </c>
      <c r="B4" s="1" t="s">
        <v>270</v>
      </c>
      <c r="C4" s="1" t="s">
        <v>271</v>
      </c>
      <c r="D4" s="1" t="s">
        <v>28</v>
      </c>
      <c r="E4" s="1" t="s">
        <v>272</v>
      </c>
      <c r="F4" s="1" t="s">
        <v>273</v>
      </c>
      <c r="G4" s="1" t="s">
        <v>274</v>
      </c>
    </row>
    <row r="5" spans="1:7">
      <c r="A5" s="1" t="s">
        <v>275</v>
      </c>
      <c r="B5" s="1" t="s">
        <v>28</v>
      </c>
      <c r="C5" s="1" t="s">
        <v>276</v>
      </c>
      <c r="D5" s="1" t="s">
        <v>277</v>
      </c>
      <c r="E5" s="1"/>
      <c r="F5" s="1"/>
      <c r="G5" s="1" t="s">
        <v>278</v>
      </c>
    </row>
    <row r="6" spans="1:7">
      <c r="A6" s="1" t="s">
        <v>28</v>
      </c>
      <c r="B6" s="1"/>
      <c r="C6" s="1"/>
      <c r="D6" s="1"/>
      <c r="E6" s="1"/>
      <c r="F6" s="1"/>
      <c r="G6" s="1"/>
    </row>
    <row r="7" spans="1:7">
      <c r="A7" s="1" t="s">
        <v>279</v>
      </c>
      <c r="B7" s="1"/>
      <c r="C7" s="1"/>
      <c r="D7" s="1"/>
      <c r="E7" s="1"/>
      <c r="F7" s="1"/>
      <c r="G7" s="1"/>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5CE13C5EA719F4EA619D9E66753C54C" ma:contentTypeVersion="19" ma:contentTypeDescription="Create a new document." ma:contentTypeScope="" ma:versionID="55cb74fdf57f27f2cc9cf17ec2a40dfe">
  <xsd:schema xmlns:xsd="http://www.w3.org/2001/XMLSchema" xmlns:xs="http://www.w3.org/2001/XMLSchema" xmlns:p="http://schemas.microsoft.com/office/2006/metadata/properties" xmlns:ns2="fbf5d18f-a539-415a-b4b5-b13bf63fbc53" xmlns:ns3="3de8a3b1-ed4f-410f-8887-f682d26381a0" targetNamespace="http://schemas.microsoft.com/office/2006/metadata/properties" ma:root="true" ma:fieldsID="cb33ddc406ed8ee1ec2e32dedb674c94" ns2:_="" ns3:_="">
    <xsd:import namespace="fbf5d18f-a539-415a-b4b5-b13bf63fbc53"/>
    <xsd:import namespace="3de8a3b1-ed4f-410f-8887-f682d26381a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f5d18f-a539-415a-b4b5-b13bf63fbc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2dab9438-f903-450b-a158-c86bb4a35dfc"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de8a3b1-ed4f-410f-8887-f682d26381a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4a7fcf77-7118-4dac-b7d4-38370d825b1f}" ma:internalName="TaxCatchAll" ma:showField="CatchAllData" ma:web="3de8a3b1-ed4f-410f-8887-f682d26381a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bf5d18f-a539-415a-b4b5-b13bf63fbc53">
      <Terms xmlns="http://schemas.microsoft.com/office/infopath/2007/PartnerControls"/>
    </lcf76f155ced4ddcb4097134ff3c332f>
    <TaxCatchAll xmlns="3de8a3b1-ed4f-410f-8887-f682d26381a0" xsi:nil="true"/>
  </documentManagement>
</p:properties>
</file>

<file path=customXml/itemProps1.xml><?xml version="1.0" encoding="utf-8"?>
<ds:datastoreItem xmlns:ds="http://schemas.openxmlformats.org/officeDocument/2006/customXml" ds:itemID="{5FB5EC8F-6DDA-4EEB-ACA6-454A491FFD4A}"/>
</file>

<file path=customXml/itemProps2.xml><?xml version="1.0" encoding="utf-8"?>
<ds:datastoreItem xmlns:ds="http://schemas.openxmlformats.org/officeDocument/2006/customXml" ds:itemID="{5128BA07-FD07-4BF6-A5A5-C36F2194B10D}"/>
</file>

<file path=customXml/itemProps3.xml><?xml version="1.0" encoding="utf-8"?>
<ds:datastoreItem xmlns:ds="http://schemas.openxmlformats.org/officeDocument/2006/customXml" ds:itemID="{098CA860-76E1-4F5F-B46F-7BF705BE868D}"/>
</file>

<file path=docMetadata/LabelInfo.xml><?xml version="1.0" encoding="utf-8"?>
<clbl:labelList xmlns:clbl="http://schemas.microsoft.com/office/2020/mipLabelMetadata">
  <clbl:label id="{3a78b0cd-7c8e-4929-83d5-190a6cc01365}" enabled="0" method="" siteId="{3a78b0cd-7c8e-4929-83d5-190a6cc01365}"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2026-09-11T12:48:20Z</dcterms:created>
  <dcterms:modified xsi:type="dcterms:W3CDTF">2026-10-29T13:00:48Z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0x01010015CE13C5EA719F4EA619D9E66753C54C</vt:lpwstr>
  </property>
  <property fmtid="{D5CDD505-2E9C-101B-9397-08002B2CF9AE}" pid="3" name="MediaServiceImageTags">
    <vt:lpwstr/>
  </property>
</Properties>
</file>